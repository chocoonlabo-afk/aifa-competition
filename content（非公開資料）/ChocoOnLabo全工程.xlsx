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Projects\AIMC\content（非公開資料）\"/>
    </mc:Choice>
  </mc:AlternateContent>
  <xr:revisionPtr revIDLastSave="0" documentId="13_ncr:1_{1E386BBE-9DA4-418E-BEE6-78A0D089ABD8}" xr6:coauthVersionLast="47" xr6:coauthVersionMax="47" xr10:uidLastSave="{00000000-0000-0000-0000-000000000000}"/>
  <bookViews>
    <workbookView xWindow="3276" yWindow="420" windowWidth="16704" windowHeight="12240" activeTab="1" xr2:uid="{AD14122F-F302-4D97-8A14-069505E77C5D}"/>
  </bookViews>
  <sheets>
    <sheet name="全工程" sheetId="1" r:id="rId1"/>
    <sheet name="AIMC工程" sheetId="2" r:id="rId2"/>
    <sheet name="Sheet1" sheetId="4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3" l="1" a="1"/>
  <c r="A5" i="3" s="1"/>
  <c r="A6" i="3" a="1"/>
  <c r="A6" i="3" s="1"/>
  <c r="A9" i="3" a="1"/>
  <c r="A9" i="3" s="1"/>
  <c r="A10" i="3" a="1"/>
  <c r="A10" i="3" s="1"/>
  <c r="A11" i="3" a="1"/>
  <c r="A11" i="3" s="1"/>
  <c r="A12" i="3" a="1"/>
  <c r="A12" i="3" s="1"/>
  <c r="A14" i="3" a="1"/>
  <c r="A14" i="3" s="1"/>
  <c r="A15" i="3" a="1"/>
  <c r="A15" i="3" s="1"/>
  <c r="A24" i="3" a="1"/>
  <c r="A24" i="3" s="1"/>
  <c r="D1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<sst xmlns="http://schemas.openxmlformats.org/spreadsheetml/2006/main" count="358" uniqueCount="271">
  <si>
    <t>https://chatgpt.com/c/692ed355-bb8c-8322-8c1b-52cd9d875959</t>
  </si>
  <si>
    <t>ChocoOnLabo全工程管理</t>
    <rPh sb="11" eb="12">
      <t>ゼン</t>
    </rPh>
    <rPh sb="12" eb="14">
      <t>コウテイ</t>
    </rPh>
    <rPh sb="14" eb="16">
      <t>カンリ</t>
    </rPh>
    <phoneticPr fontId="2"/>
  </si>
  <si>
    <t>PocoaPoco</t>
    <phoneticPr fontId="2"/>
  </si>
  <si>
    <t>Famical</t>
    <phoneticPr fontId="2"/>
  </si>
  <si>
    <t>Practice</t>
    <phoneticPr fontId="2"/>
  </si>
  <si>
    <t>AIMC</t>
    <phoneticPr fontId="2"/>
  </si>
  <si>
    <t>SakuLog</t>
    <phoneticPr fontId="2"/>
  </si>
  <si>
    <t>ConcertNow</t>
    <phoneticPr fontId="2"/>
  </si>
  <si>
    <t>Year</t>
    <phoneticPr fontId="2"/>
  </si>
  <si>
    <t>Month</t>
    <phoneticPr fontId="2"/>
  </si>
  <si>
    <t>リリース</t>
    <phoneticPr fontId="2"/>
  </si>
  <si>
    <t>要件定義</t>
    <rPh sb="0" eb="4">
      <t>ヨウケンテイギ</t>
    </rPh>
    <phoneticPr fontId="2"/>
  </si>
  <si>
    <t>受験</t>
    <rPh sb="0" eb="2">
      <t>ジュケン</t>
    </rPh>
    <phoneticPr fontId="2"/>
  </si>
  <si>
    <t>開発</t>
    <rPh sb="0" eb="2">
      <t>カイハツ</t>
    </rPh>
    <phoneticPr fontId="2"/>
  </si>
  <si>
    <t>Other</t>
    <phoneticPr fontId="2"/>
  </si>
  <si>
    <t>応募者サイトリリース</t>
    <rPh sb="0" eb="3">
      <t>オウボシャ</t>
    </rPh>
    <phoneticPr fontId="2"/>
  </si>
  <si>
    <t>審査員サイトリリース</t>
    <rPh sb="0" eb="3">
      <t>シンサイン</t>
    </rPh>
    <phoneticPr fontId="2"/>
  </si>
  <si>
    <t>AI解析実装</t>
    <rPh sb="2" eb="4">
      <t>カイセキ</t>
    </rPh>
    <rPh sb="4" eb="6">
      <t>ジッソウ</t>
    </rPh>
    <phoneticPr fontId="2"/>
  </si>
  <si>
    <t>初回要綱発表</t>
    <rPh sb="0" eb="2">
      <t>ショカイ</t>
    </rPh>
    <rPh sb="2" eb="4">
      <t>ヨウコウ</t>
    </rPh>
    <rPh sb="4" eb="6">
      <t>ハッピョウ</t>
    </rPh>
    <phoneticPr fontId="2"/>
  </si>
  <si>
    <t>コンクール開催</t>
    <rPh sb="5" eb="7">
      <t>カイサイ</t>
    </rPh>
    <phoneticPr fontId="2"/>
  </si>
  <si>
    <t>大分類</t>
    <rPh sb="0" eb="3">
      <t>ダイブンルイ</t>
    </rPh>
    <phoneticPr fontId="2"/>
  </si>
  <si>
    <t>進捗</t>
    <rPh sb="0" eb="2">
      <t>シンチョク</t>
    </rPh>
    <phoneticPr fontId="2"/>
  </si>
  <si>
    <t>メモ</t>
    <phoneticPr fontId="2"/>
  </si>
  <si>
    <t>https://chatgpt.com/g/g-p-692ea8d342708191b651950c34b8025d-aifa-international-music-competition/c/692e29b2-5c04-8322-b5ce-08ce84a39ba8</t>
  </si>
  <si>
    <t>Aifa International MusicCompetitionスレ/工程管理</t>
    <rPh sb="38" eb="42">
      <t>コウテイカンリ</t>
    </rPh>
    <phoneticPr fontId="2"/>
  </si>
  <si>
    <t>【AIMC】010_01_命名・理念</t>
    <phoneticPr fontId="2"/>
  </si>
  <si>
    <t>【AIMC】000_01_基本設計</t>
    <rPh sb="13" eb="15">
      <t>キホン</t>
    </rPh>
    <rPh sb="15" eb="17">
      <t>セッケイ</t>
    </rPh>
    <phoneticPr fontId="2"/>
  </si>
  <si>
    <t>【AIMC】010_02_ロゴ</t>
    <phoneticPr fontId="2"/>
  </si>
  <si>
    <t>子</t>
    <rPh sb="0" eb="1">
      <t>コ</t>
    </rPh>
    <phoneticPr fontId="2"/>
  </si>
  <si>
    <t>中分類（親）</t>
    <rPh sb="0" eb="3">
      <t>チュウブンルイ</t>
    </rPh>
    <rPh sb="4" eb="5">
      <t>オヤ</t>
    </rPh>
    <phoneticPr fontId="2"/>
  </si>
  <si>
    <t>【AIMC】010_03_ドメイン/商標登録/レンタルオフィス</t>
    <rPh sb="18" eb="22">
      <t>ショウヒョウトウロク</t>
    </rPh>
    <phoneticPr fontId="2"/>
  </si>
  <si>
    <t>000_全体像</t>
    <rPh sb="4" eb="7">
      <t>ゼンタイゾウ</t>
    </rPh>
    <phoneticPr fontId="2"/>
  </si>
  <si>
    <t>010_ブランド/法務</t>
    <rPh sb="9" eb="11">
      <t>ホウム</t>
    </rPh>
    <phoneticPr fontId="2"/>
  </si>
  <si>
    <t>020_開発環境構築</t>
    <rPh sb="4" eb="8">
      <t>カイハツカンキョウ</t>
    </rPh>
    <rPh sb="8" eb="10">
      <t>コウチク</t>
    </rPh>
    <phoneticPr fontId="2"/>
  </si>
  <si>
    <t>instagramUP</t>
    <phoneticPr fontId="2"/>
  </si>
  <si>
    <t>テスト</t>
    <phoneticPr fontId="2"/>
  </si>
  <si>
    <t>【AIMC】000_02_工程管理</t>
    <rPh sb="13" eb="17">
      <t>コウテイカンリ</t>
    </rPh>
    <phoneticPr fontId="2"/>
  </si>
  <si>
    <t>040_応募サイト構築</t>
    <rPh sb="4" eb="6">
      <t>オウボ</t>
    </rPh>
    <rPh sb="9" eb="11">
      <t>コウチク</t>
    </rPh>
    <phoneticPr fontId="2"/>
  </si>
  <si>
    <t>【AIMC】020_05_Next.jp基本設定</t>
    <rPh sb="20" eb="24">
      <t>キホンセッテイ</t>
    </rPh>
    <phoneticPr fontId="2"/>
  </si>
  <si>
    <t>【AIMC】020_06_GitHub基本設定</t>
    <rPh sb="19" eb="23">
      <t>キホンセッテイ</t>
    </rPh>
    <phoneticPr fontId="2"/>
  </si>
  <si>
    <t>【AIMC】020_07_Vercel基本設定</t>
    <rPh sb="19" eb="23">
      <t>キホンセッテイ</t>
    </rPh>
    <phoneticPr fontId="2"/>
  </si>
  <si>
    <t>【AIMC】020_08_Stripe基本設定</t>
    <rPh sb="19" eb="23">
      <t>キホンセッテイ</t>
    </rPh>
    <phoneticPr fontId="2"/>
  </si>
  <si>
    <t>審査自動化アプリ全体基本設計</t>
    <rPh sb="0" eb="5">
      <t>シンサジドウカ</t>
    </rPh>
    <rPh sb="8" eb="10">
      <t>ゼンタイ</t>
    </rPh>
    <rPh sb="10" eb="12">
      <t>キホン</t>
    </rPh>
    <rPh sb="12" eb="14">
      <t>セッケイ</t>
    </rPh>
    <phoneticPr fontId="2"/>
  </si>
  <si>
    <t>Supabaseデータ構造設計</t>
    <rPh sb="11" eb="13">
      <t>コウゾウ</t>
    </rPh>
    <rPh sb="13" eb="15">
      <t>セッケイ</t>
    </rPh>
    <phoneticPr fontId="2"/>
  </si>
  <si>
    <t>審査画面</t>
    <rPh sb="0" eb="4">
      <t>シンサガメン</t>
    </rPh>
    <phoneticPr fontId="2"/>
  </si>
  <si>
    <t>設計/開発</t>
    <rPh sb="0" eb="2">
      <t>セッケイ</t>
    </rPh>
    <rPh sb="3" eb="5">
      <t>カイハツ</t>
    </rPh>
    <phoneticPr fontId="2"/>
  </si>
  <si>
    <t>Apply応募フォーム画面</t>
    <rPh sb="5" eb="7">
      <t>オウボ</t>
    </rPh>
    <rPh sb="11" eb="13">
      <t>ガメン</t>
    </rPh>
    <phoneticPr fontId="2"/>
  </si>
  <si>
    <t>【AIMC】020_01_02_矛盾チェック</t>
    <rPh sb="16" eb="18">
      <t>ムジュン</t>
    </rPh>
    <phoneticPr fontId="2"/>
  </si>
  <si>
    <t>【AIMC】020_02_02_矛盾チェック</t>
    <rPh sb="16" eb="18">
      <t>ムジュン</t>
    </rPh>
    <phoneticPr fontId="2"/>
  </si>
  <si>
    <t>【AIMC】020_03_02_矛盾チェック</t>
    <rPh sb="16" eb="18">
      <t>ムジュン</t>
    </rPh>
    <phoneticPr fontId="2"/>
  </si>
  <si>
    <t>英語化</t>
    <rPh sb="0" eb="2">
      <t>エイゴ</t>
    </rPh>
    <rPh sb="2" eb="3">
      <t>カ</t>
    </rPh>
    <phoneticPr fontId="2"/>
  </si>
  <si>
    <t>審査状況確認画面</t>
    <rPh sb="0" eb="2">
      <t>シンサ</t>
    </rPh>
    <rPh sb="2" eb="4">
      <t>ジョウキョウ</t>
    </rPh>
    <rPh sb="4" eb="6">
      <t>カクニン</t>
    </rPh>
    <rPh sb="6" eb="8">
      <t>ガメン</t>
    </rPh>
    <phoneticPr fontId="2"/>
  </si>
  <si>
    <t>ダブルチェック</t>
    <phoneticPr fontId="2"/>
  </si>
  <si>
    <t>Err対応</t>
    <rPh sb="3" eb="5">
      <t>タイオウ</t>
    </rPh>
    <phoneticPr fontId="2"/>
  </si>
  <si>
    <t>AI判定全体設計</t>
    <rPh sb="2" eb="4">
      <t>ハンテイ</t>
    </rPh>
    <rPh sb="4" eb="6">
      <t>ゼンタイ</t>
    </rPh>
    <rPh sb="6" eb="8">
      <t>セッケイ</t>
    </rPh>
    <phoneticPr fontId="2"/>
  </si>
  <si>
    <t>AIリズム解析</t>
    <phoneticPr fontId="2"/>
  </si>
  <si>
    <t>仕様策定</t>
    <rPh sb="0" eb="2">
      <t>シヨウ</t>
    </rPh>
    <rPh sb="2" eb="4">
      <t>サクテイ</t>
    </rPh>
    <phoneticPr fontId="2"/>
  </si>
  <si>
    <t>050_AI判定</t>
    <phoneticPr fontId="2"/>
  </si>
  <si>
    <t>060_審査自動化アプリ開発</t>
    <rPh sb="4" eb="6">
      <t>シンサ</t>
    </rPh>
    <rPh sb="6" eb="9">
      <t>ジドウカ</t>
    </rPh>
    <rPh sb="12" eb="14">
      <t>カイハツ</t>
    </rPh>
    <phoneticPr fontId="2"/>
  </si>
  <si>
    <t>音程解析</t>
    <phoneticPr fontId="2"/>
  </si>
  <si>
    <t>リズム解析</t>
    <phoneticPr fontId="2"/>
  </si>
  <si>
    <t>姿勢解析</t>
    <phoneticPr fontId="2"/>
  </si>
  <si>
    <t>年齢×経験の最適マッピング</t>
    <phoneticPr fontId="2"/>
  </si>
  <si>
    <t>人間審査員ガイドライン策定</t>
    <rPh sb="11" eb="13">
      <t>サクテイ</t>
    </rPh>
    <phoneticPr fontId="2"/>
  </si>
  <si>
    <t>AI/人間審査割合策定</t>
    <rPh sb="3" eb="5">
      <t>ニンゲン</t>
    </rPh>
    <rPh sb="5" eb="7">
      <t>シンサ</t>
    </rPh>
    <rPh sb="7" eb="9">
      <t>ワリアイ</t>
    </rPh>
    <rPh sb="9" eb="11">
      <t>サクテイ</t>
    </rPh>
    <phoneticPr fontId="2"/>
  </si>
  <si>
    <t>審査結果収集方法設計</t>
    <rPh sb="0" eb="4">
      <t>シンサケッカ</t>
    </rPh>
    <rPh sb="4" eb="6">
      <t>シュウシュウ</t>
    </rPh>
    <rPh sb="6" eb="8">
      <t>ホウホウ</t>
    </rPh>
    <rPh sb="8" eb="10">
      <t>セッケイ</t>
    </rPh>
    <phoneticPr fontId="2"/>
  </si>
  <si>
    <t>年間スケジュール策定</t>
    <rPh sb="0" eb="2">
      <t>ネンカン</t>
    </rPh>
    <rPh sb="8" eb="10">
      <t>サクテイ</t>
    </rPh>
    <phoneticPr fontId="2"/>
  </si>
  <si>
    <t>募集要項書き換え</t>
    <rPh sb="0" eb="4">
      <t>ボシュウヨウコウ</t>
    </rPh>
    <rPh sb="4" eb="5">
      <t>カ</t>
    </rPh>
    <rPh sb="6" eb="7">
      <t>カ</t>
    </rPh>
    <phoneticPr fontId="2"/>
  </si>
  <si>
    <t>結果のウェブサイトUP</t>
    <rPh sb="0" eb="2">
      <t>ケッカ</t>
    </rPh>
    <phoneticPr fontId="2"/>
  </si>
  <si>
    <t>受賞者へのメール送信</t>
    <rPh sb="0" eb="3">
      <t>ジュショウシャ</t>
    </rPh>
    <rPh sb="8" eb="10">
      <t>ソウシン</t>
    </rPh>
    <phoneticPr fontId="2"/>
  </si>
  <si>
    <t>随時問合せ対応</t>
    <rPh sb="0" eb="2">
      <t>ズイジ</t>
    </rPh>
    <rPh sb="2" eb="4">
      <t>トイアワ</t>
    </rPh>
    <rPh sb="5" eb="7">
      <t>タイオウ</t>
    </rPh>
    <phoneticPr fontId="2"/>
  </si>
  <si>
    <t>070_結果発表</t>
    <rPh sb="4" eb="6">
      <t>ケッカ</t>
    </rPh>
    <rPh sb="6" eb="8">
      <t>ハッピョウ</t>
    </rPh>
    <phoneticPr fontId="2"/>
  </si>
  <si>
    <t>賞状PDF自動生成/メール送信アプリ</t>
    <rPh sb="0" eb="2">
      <t>ショウジョウ</t>
    </rPh>
    <rPh sb="5" eb="7">
      <t>ジドウ</t>
    </rPh>
    <rPh sb="7" eb="9">
      <t>セイセイ</t>
    </rPh>
    <rPh sb="13" eb="15">
      <t>ソウシン</t>
    </rPh>
    <phoneticPr fontId="2"/>
  </si>
  <si>
    <t>スルーテスト</t>
    <phoneticPr fontId="2"/>
  </si>
  <si>
    <t>仕様書作成</t>
    <rPh sb="0" eb="3">
      <t>シヨウショ</t>
    </rPh>
    <rPh sb="3" eb="5">
      <t>サクセイ</t>
    </rPh>
    <phoneticPr fontId="2"/>
  </si>
  <si>
    <t>参考資料</t>
    <rPh sb="0" eb="4">
      <t>サンコウシリョウ</t>
    </rPh>
    <phoneticPr fontId="2"/>
  </si>
  <si>
    <t>080_運営</t>
    <rPh sb="4" eb="6">
      <t>ウンエイ</t>
    </rPh>
    <phoneticPr fontId="2"/>
  </si>
  <si>
    <t>【AIMC】020_04_Supabase基本設定1</t>
    <rPh sb="21" eb="23">
      <t>キホン</t>
    </rPh>
    <rPh sb="23" eb="25">
      <t>セッテイ</t>
    </rPh>
    <phoneticPr fontId="2"/>
  </si>
  <si>
    <t>【AIMC】020_04_02_基本設定2</t>
    <rPh sb="16" eb="20">
      <t>キホンセッテイ</t>
    </rPh>
    <phoneticPr fontId="2"/>
  </si>
  <si>
    <t>【AIMC】020_01_開発ルール/NGルール設計（資料①）</t>
    <rPh sb="13" eb="15">
      <t>カイハツ</t>
    </rPh>
    <rPh sb="24" eb="26">
      <t>セッケイ</t>
    </rPh>
    <rPh sb="27" eb="29">
      <t>シリョウ</t>
    </rPh>
    <phoneticPr fontId="2"/>
  </si>
  <si>
    <t>【AIMC】020_02_Supabaseルール設計（資料②）</t>
    <rPh sb="24" eb="26">
      <t>セッケイ</t>
    </rPh>
    <rPh sb="27" eb="29">
      <t>シリョウ</t>
    </rPh>
    <phoneticPr fontId="2"/>
  </si>
  <si>
    <t>【AIMC】020_03_Supabaseほかテスト仕様書作成（資料③）</t>
    <rPh sb="26" eb="29">
      <t>シヨウショ</t>
    </rPh>
    <rPh sb="29" eb="31">
      <t>サクセイ</t>
    </rPh>
    <rPh sb="32" eb="34">
      <t>シリョウ</t>
    </rPh>
    <phoneticPr fontId="2"/>
  </si>
  <si>
    <t>①</t>
    <phoneticPr fontId="2"/>
  </si>
  <si>
    <t>①②</t>
    <phoneticPr fontId="2"/>
  </si>
  <si>
    <t>①②③</t>
    <phoneticPr fontId="2"/>
  </si>
  <si>
    <t>①②④</t>
    <phoneticPr fontId="2"/>
  </si>
  <si>
    <t>https://chatgpt.com/c/69323ad7-add4-8322-91d5-211a4145a2c8</t>
  </si>
  <si>
    <t>完了条件</t>
    <rPh sb="0" eb="4">
      <t>カンリョウジョウケン</t>
    </rPh>
    <phoneticPr fontId="2"/>
  </si>
  <si>
    <r>
      <t xml:space="preserve">✔ </t>
    </r>
    <r>
      <rPr>
        <b/>
        <sz val="11"/>
        <color theme="1"/>
        <rFont val="游ゴシック"/>
        <family val="3"/>
        <charset val="128"/>
        <scheme val="minor"/>
      </rPr>
      <t>環境変数整合性チェック（Supabase / Vercel / Stripe）</t>
    </r>
  </si>
  <si>
    <r>
      <t xml:space="preserve">✔ </t>
    </r>
    <r>
      <rPr>
        <b/>
        <sz val="11"/>
        <color theme="1"/>
        <rFont val="游ゴシック"/>
        <family val="3"/>
        <charset val="128"/>
        <scheme val="minor"/>
      </rPr>
      <t>本番環境・開発環境の切替テスト</t>
    </r>
  </si>
  <si>
    <r>
      <t xml:space="preserve">✔ </t>
    </r>
    <r>
      <rPr>
        <b/>
        <sz val="11"/>
        <color theme="1"/>
        <rFont val="游ゴシック"/>
        <family val="3"/>
        <charset val="128"/>
        <scheme val="minor"/>
      </rPr>
      <t>メール動作スルーテスト（Signup → Callback → Redirect）</t>
    </r>
  </si>
  <si>
    <r>
      <t xml:space="preserve">✔ </t>
    </r>
    <r>
      <rPr>
        <b/>
        <sz val="11"/>
        <color theme="1"/>
        <rFont val="游ゴシック"/>
        <family val="3"/>
        <charset val="128"/>
        <scheme val="minor"/>
      </rPr>
      <t>GitHub連携テスト（push → build）</t>
    </r>
  </si>
  <si>
    <r>
      <rPr>
        <sz val="11"/>
        <color theme="1"/>
        <rFont val="Segoe UI Symbol"/>
        <family val="2"/>
      </rPr>
      <t>✔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CORS / API保護設定の確認</t>
    </r>
    <phoneticPr fontId="2"/>
  </si>
  <si>
    <t>入力データ仕様（YouTube URL→音声抽出→整形）</t>
  </si>
  <si>
    <t>AI API 選定（Memo）</t>
  </si>
  <si>
    <t>判定統合ロジック</t>
  </si>
  <si>
    <t>担当ジャンル設定/審査対象選択画面</t>
    <rPh sb="0" eb="2">
      <t>タントウ</t>
    </rPh>
    <rPh sb="6" eb="8">
      <t>セッテイ</t>
    </rPh>
    <rPh sb="9" eb="11">
      <t>シンサ</t>
    </rPh>
    <rPh sb="11" eb="13">
      <t>タイショウ</t>
    </rPh>
    <rPh sb="13" eb="15">
      <t>センタク</t>
    </rPh>
    <rPh sb="15" eb="17">
      <t>ガメン</t>
    </rPh>
    <phoneticPr fontId="2"/>
  </si>
  <si>
    <t>AI判定と人間判定の “重み設定画面”</t>
  </si>
  <si>
    <t>審査員ログイン/本人確認画面</t>
    <rPh sb="0" eb="3">
      <t>シンサイン</t>
    </rPh>
    <rPh sb="8" eb="12">
      <t>ホンニンカクニン</t>
    </rPh>
    <rPh sb="12" eb="14">
      <t>ガメン</t>
    </rPh>
    <phoneticPr fontId="2"/>
  </si>
  <si>
    <t>審査員のアカウント停止（不正・未対応）</t>
    <phoneticPr fontId="2"/>
  </si>
  <si>
    <t>応募者問合せフォーム作成</t>
    <rPh sb="0" eb="3">
      <t>オウボシャ</t>
    </rPh>
    <rPh sb="3" eb="5">
      <t>トイアワ</t>
    </rPh>
    <rPh sb="10" eb="12">
      <t>サクセイ</t>
    </rPh>
    <phoneticPr fontId="2"/>
  </si>
  <si>
    <t>審査員問合せフォーム作成</t>
    <rPh sb="0" eb="3">
      <t>シンサイン</t>
    </rPh>
    <rPh sb="3" eb="5">
      <t>トイアワ</t>
    </rPh>
    <rPh sb="10" eb="12">
      <t>サクセイ</t>
    </rPh>
    <phoneticPr fontId="2"/>
  </si>
  <si>
    <t>障害発生時のアナウンス手順（Web更新＋メール）</t>
    <phoneticPr fontId="2"/>
  </si>
  <si>
    <t>スパム応募の検知と排除</t>
    <phoneticPr fontId="2"/>
  </si>
  <si>
    <t>不正動画（AI生成動画）の拒否基準</t>
    <phoneticPr fontId="2"/>
  </si>
  <si>
    <t>済</t>
    <rPh sb="0" eb="1">
      <t>スミ</t>
    </rPh>
    <phoneticPr fontId="2"/>
  </si>
  <si>
    <t>----------------------------------------</t>
  </si>
  <si>
    <t>B. 応募フォーム仕様（UI＋DB＋Stripe）</t>
  </si>
  <si>
    <t>必須項目：</t>
  </si>
  <si>
    <t>- メールアドレス / Email Address</t>
  </si>
  <si>
    <t>- 生年月日 / Date of Birth</t>
  </si>
  <si>
    <t>任意項目：</t>
  </si>
  <si>
    <t>DBテーブル：applications</t>
  </si>
  <si>
    <t>カラム：</t>
  </si>
  <si>
    <t>id, created_at, name_jp, name_en, email,</t>
  </si>
  <si>
    <t>date_of_birth, nationality, category, piece,</t>
  </si>
  <si>
    <t>youtube_url, teacher, message,</t>
  </si>
  <si>
    <t>stripe_payment_intent, payment_status, year</t>
  </si>
  <si>
    <t>Stripe：</t>
  </si>
  <si>
    <t>- 料金：9800円</t>
  </si>
  <si>
    <t>C. Newsテンプレ（日英）</t>
  </si>
  <si>
    <t>応募受付開始：</t>
  </si>
  <si>
    <t>JP：応募受付を開始しました</t>
  </si>
  <si>
    <t>EN：Applications are now open</t>
  </si>
  <si>
    <t>締切延長：</t>
  </si>
  <si>
    <t>JP：応募締切を延長しました</t>
  </si>
  <si>
    <t>EN：Deadline has been extended</t>
  </si>
  <si>
    <t>結果遅延：</t>
  </si>
  <si>
    <t>JP：結果発表を延期します</t>
  </si>
  <si>
    <t>EN：Results announcement will be postponed</t>
  </si>
  <si>
    <t>公開：</t>
  </si>
  <si>
    <t>JP：結果を公開しました</t>
  </si>
  <si>
    <t>EN：Results have been published</t>
  </si>
  <si>
    <t>D. 結果ページテンプレ</t>
  </si>
  <si>
    <t>例：Violin Category</t>
  </si>
  <si>
    <t>金賞 / Gold Prize</t>
  </si>
  <si>
    <t>銀賞 / Silver Prize</t>
  </si>
  <si>
    <t>銅賞 / Bronze Prize</t>
  </si>
  <si>
    <t>表示形式：</t>
  </si>
  <si>
    <t>- Name［Country］（母国語表記）</t>
  </si>
  <si>
    <t>注意書き：</t>
  </si>
  <si>
    <t>JP：氏名表記は応募内容に基づきます</t>
  </si>
  <si>
    <t>EN：Name spellings follow the original submission</t>
  </si>
  <si>
    <t>E. 用語統一表（Glossary）</t>
  </si>
  <si>
    <t>応募要項：Entry Guidelines</t>
  </si>
  <si>
    <t>自由曲：Free Choice Piece</t>
  </si>
  <si>
    <t>部門：Category</t>
  </si>
  <si>
    <t>曲目：Piece / Title of the Piece</t>
  </si>
  <si>
    <t>金賞：Gold Prize</t>
  </si>
  <si>
    <t>銀賞：Silver Prize</t>
  </si>
  <si>
    <t>銅賞：Bronze Prize</t>
  </si>
  <si>
    <t>応募料：Application Fee</t>
  </si>
  <si>
    <t>結果発表：Results</t>
  </si>
  <si>
    <t>過去の結果：Past Results</t>
  </si>
  <si>
    <t>https://chatgpt.com/c/692eb3d3-8d8c-8322-b0fe-bb5fd616c12b</t>
  </si>
  <si>
    <t>【AIMC】040_01_応募サイト全体基本設計</t>
    <rPh sb="13" eb="15">
      <t>オウボ</t>
    </rPh>
    <rPh sb="18" eb="20">
      <t>ゼンタイ</t>
    </rPh>
    <rPh sb="20" eb="24">
      <t>キホンセッケイ</t>
    </rPh>
    <phoneticPr fontId="2"/>
  </si>
  <si>
    <t>【AIMC】040_01_英語対応テーブル作成</t>
    <rPh sb="13" eb="17">
      <t>エイゴタイオウ</t>
    </rPh>
    <rPh sb="21" eb="23">
      <t>サクセイ</t>
    </rPh>
    <phoneticPr fontId="2"/>
  </si>
  <si>
    <t>【AIMC】040_01_Stripe連携</t>
    <rPh sb="19" eb="21">
      <t>レンケイ</t>
    </rPh>
    <phoneticPr fontId="2"/>
  </si>
  <si>
    <t>【AIMC】040_01_受付メール送信</t>
    <rPh sb="13" eb="15">
      <t>ウケツケ</t>
    </rPh>
    <rPh sb="18" eb="20">
      <t>ソウシン</t>
    </rPh>
    <phoneticPr fontId="2"/>
  </si>
  <si>
    <t>【AIMC】040_01_スルーテスト</t>
    <phoneticPr fontId="2"/>
  </si>
  <si>
    <t>支払い画面</t>
    <rPh sb="0" eb="2">
      <t>シハラ</t>
    </rPh>
    <rPh sb="3" eb="5">
      <t>ガメン</t>
    </rPh>
    <phoneticPr fontId="2"/>
  </si>
  <si>
    <t>apply/success支払い完了画面</t>
    <rPh sb="13" eb="15">
      <t>シハラ</t>
    </rPh>
    <rPh sb="16" eb="18">
      <t>カンリョウ</t>
    </rPh>
    <rPh sb="18" eb="20">
      <t>ガメン</t>
    </rPh>
    <phoneticPr fontId="2"/>
  </si>
  <si>
    <t>/aifacomp-website</t>
  </si>
  <si>
    <t>│</t>
  </si>
  <si>
    <t>├── public</t>
  </si>
  <si>
    <t>│   ├── images</t>
  </si>
  <si>
    <t>│   │   ├── logo</t>
  </si>
  <si>
    <t>│   │   │   └── aimc-logo.png</t>
  </si>
  <si>
    <t>│   │   ├── photos</t>
  </si>
  <si>
    <t>│   │   └── banners</t>
  </si>
  <si>
    <t>│   └── favicon.ico</t>
  </si>
  <si>
    <t>├── src</t>
  </si>
  <si>
    <t>│   ├── app</t>
  </si>
  <si>
    <t>│   │   ├── page.tsx</t>
  </si>
  <si>
    <t>│   │   ├── about</t>
  </si>
  <si>
    <t>│   │   │   └── page.tsx</t>
  </si>
  <si>
    <t>│   │   ├── guidelines</t>
  </si>
  <si>
    <t>│   │   ├── categories</t>
  </si>
  <si>
    <t>│   │   ├── schedule</t>
  </si>
  <si>
    <t>│   │   ├── prizes</t>
  </si>
  <si>
    <t>│   │   ├── entry</t>
  </si>
  <si>
    <t>│   │   ├── jury</t>
  </si>
  <si>
    <t>│   │   └── contact</t>
  </si>
  <si>
    <t>│   │       └── page.tsx</t>
  </si>
  <si>
    <t>│   │</t>
  </si>
  <si>
    <t>│   ├── components</t>
  </si>
  <si>
    <t>│   │   ├── Header.tsx</t>
  </si>
  <si>
    <t>│   │   ├── Footer.tsx</t>
  </si>
  <si>
    <t>│   │   ├── SectionTitle.tsx</t>
  </si>
  <si>
    <t>│   │   ├── Card.tsx</t>
  </si>
  <si>
    <t>│   │   ├── JuryCard.tsx</t>
  </si>
  <si>
    <t>│   │   └── PrizeCard.tsx</t>
  </si>
  <si>
    <t>│   ├── styles</t>
  </si>
  <si>
    <t>│   │   ├── globals.css</t>
  </si>
  <si>
    <t>│   │   └── theme.css</t>
  </si>
  <si>
    <t>│   ├── constants</t>
  </si>
  <si>
    <t>│   │   ├── competitionInfo.ts</t>
  </si>
  <si>
    <t>│   │   ├── schedule.ts</t>
  </si>
  <si>
    <t>│   │   ├── categories.ts</t>
  </si>
  <si>
    <t>│   │   ├── prizes.ts</t>
  </si>
  <si>
    <t>│   │   └── contact.ts</t>
  </si>
  <si>
    <t>│   └── utils</t>
  </si>
  <si>
    <t>│       ├── date.ts</t>
  </si>
  <si>
    <t>│       └── format.ts</t>
  </si>
  <si>
    <t>├── content</t>
  </si>
  <si>
    <t>│   ├── rules-draft.md</t>
  </si>
  <si>
    <t>│   ├── faq-draft.md</t>
  </si>
  <si>
    <t>│   ├── press-kit.md</t>
  </si>
  <si>
    <t>│   └── logo-versions</t>
  </si>
  <si>
    <t>└── README.md</t>
  </si>
  <si>
    <t>トップページ</t>
  </si>
  <si>
    <t>大会概要・メインビジュアル</t>
  </si>
  <si>
    <t>About</t>
  </si>
  <si>
    <t>大会の理念／AIFAについて</t>
  </si>
  <si>
    <t>Guidelines</t>
  </si>
  <si>
    <t>規約、部門、参加資格</t>
  </si>
  <si>
    <t>Categories</t>
  </si>
  <si>
    <t>部門・課題曲一覧（バイオリン・ピアノ）</t>
  </si>
  <si>
    <t>Schedule</t>
  </si>
  <si>
    <t>受付開始日・締切・情報公開日</t>
  </si>
  <si>
    <t>Prizes</t>
  </si>
  <si>
    <t>賞と副賞</t>
  </si>
  <si>
    <t>Entry</t>
  </si>
  <si>
    <t>申込フォームへのリンク</t>
  </si>
  <si>
    <t>Jury</t>
  </si>
  <si>
    <t>審査員一覧</t>
  </si>
  <si>
    <t>Contact</t>
  </si>
  <si>
    <t>事務局の問い合わせ先</t>
  </si>
  <si>
    <t>https://chatgpt.com/c/692ea94b-923c-8328-9cc2-c5e63a12b1a9</t>
  </si>
  <si>
    <t>constants を分離し、後藤さんは数字だけ変えればサイト更新できる</t>
  </si>
  <si>
    <t>締切日</t>
  </si>
  <si>
    <t>情報公開日</t>
  </si>
  <si>
    <t>部門名</t>
  </si>
  <si>
    <t>課題曲</t>
  </si>
  <si>
    <r>
      <t xml:space="preserve">などは </t>
    </r>
    <r>
      <rPr>
        <b/>
        <sz val="11"/>
        <color theme="1"/>
        <rFont val="游ゴシック"/>
        <family val="3"/>
        <charset val="128"/>
        <scheme val="minor"/>
      </rPr>
      <t>すべて constants/ 以下の1ファイル</t>
    </r>
    <r>
      <rPr>
        <sz val="11"/>
        <color theme="1"/>
        <rFont val="游ゴシック"/>
        <family val="2"/>
        <charset val="128"/>
        <scheme val="minor"/>
      </rPr>
      <t>を編集すれば反映。</t>
    </r>
  </si>
  <si>
    <t>content フォルダで内部資料（非公開）も整理</t>
  </si>
  <si>
    <t>規約案</t>
  </si>
  <si>
    <t>FAQ案</t>
  </si>
  <si>
    <t>プレスキット</t>
  </si>
  <si>
    <t>ロゴデータ</t>
  </si>
  <si>
    <t>などをまとめて保存 → 商標登録用にも便利。</t>
  </si>
  <si>
    <t>ロゴ/アイコン格納（public/images）</t>
    <rPh sb="7" eb="9">
      <t>カクノウ</t>
    </rPh>
    <phoneticPr fontId="2"/>
  </si>
  <si>
    <t>【AIMC】040_01_src/app/</t>
    <phoneticPr fontId="2"/>
  </si>
  <si>
    <t>【AIMC】040_01_src/app/entryguide</t>
    <phoneticPr fontId="2"/>
  </si>
  <si>
    <t>【AIMC】040_01_src/app/categories</t>
    <phoneticPr fontId="2"/>
  </si>
  <si>
    <t>【AIMC】040_01_src/app/apply</t>
    <phoneticPr fontId="2"/>
  </si>
  <si>
    <t>【AIMC】040_01_src/app/results</t>
    <phoneticPr fontId="2"/>
  </si>
  <si>
    <t>【AIMC】040_01_src/app/results/yyyy</t>
    <phoneticPr fontId="2"/>
  </si>
  <si>
    <t>申込登録</t>
    <rPh sb="0" eb="4">
      <t>モウシコミトウロク</t>
    </rPh>
    <phoneticPr fontId="2"/>
  </si>
  <si>
    <t>【AIMC】040_01_src/app/july</t>
    <phoneticPr fontId="2"/>
  </si>
  <si>
    <t>【AIMC】040_01_src/app/contact</t>
    <phoneticPr fontId="2"/>
  </si>
  <si>
    <t>【AIMC】040_02_ファイル構造設計/作成（資料④）</t>
    <rPh sb="17" eb="19">
      <t>コウゾウ</t>
    </rPh>
    <rPh sb="19" eb="21">
      <t>セッケイ</t>
    </rPh>
    <rPh sb="22" eb="24">
      <t>サクセイ</t>
    </rPh>
    <rPh sb="25" eb="27">
      <t>シリョウ</t>
    </rPh>
    <phoneticPr fontId="2"/>
  </si>
  <si>
    <t>【AIMC】040_02_02ダブルチェック</t>
    <phoneticPr fontId="2"/>
  </si>
  <si>
    <t>ルール</t>
    <phoneticPr fontId="2"/>
  </si>
  <si>
    <t>資料を作ったら必ず別スレでダブルチェック</t>
    <rPh sb="0" eb="2">
      <t>シリョウ</t>
    </rPh>
    <rPh sb="3" eb="4">
      <t>ツク</t>
    </rPh>
    <rPh sb="7" eb="8">
      <t>カナラ</t>
    </rPh>
    <rPh sb="9" eb="10">
      <t>ベツ</t>
    </rPh>
    <phoneticPr fontId="2"/>
  </si>
  <si>
    <t>✔ AI利用に関する免責の書き方（最近厳格化）</t>
  </si>
  <si>
    <t>✔ 利用規約（応募キャンセル規定 / 著作権 / 権利範囲）</t>
    <phoneticPr fontId="2"/>
  </si>
  <si>
    <t>✔ プライバシーポリシー精査（Stripe/YouTube API準拠）</t>
    <phoneticPr fontId="2"/>
  </si>
  <si>
    <t xml:space="preserve">✔ 受賞者の名前公開に関する同意文面
</t>
    <phoneticPr fontId="2"/>
  </si>
  <si>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ＭＳ Ｐゴシック"/>
        <family val="3"/>
        <charset val="128"/>
      </rPr>
      <t/>
    </r>
    <phoneticPr fontId="2"/>
  </si>
  <si>
    <t>✔ 年齢データの扱い（未成年の保護者同意）</t>
    <phoneticPr fontId="2"/>
  </si>
  <si>
    <t>CSV出力</t>
    <rPh sb="3" eb="5">
      <t>シュツリョク</t>
    </rPh>
    <phoneticPr fontId="2"/>
  </si>
  <si>
    <t>応募データを EntryPayload 型として定義
Stripe metadata に JSON で保存</t>
    <phoneticPr fontId="2"/>
  </si>
  <si>
    <t>【AIMC】000_03_スレ構造設計/ToDo抽出</t>
    <rPh sb="15" eb="17">
      <t>コウゾウ</t>
    </rPh>
    <rPh sb="17" eb="19">
      <t>セッケイ</t>
    </rPh>
    <rPh sb="24" eb="26">
      <t>チュウシュツ</t>
    </rPh>
    <phoneticPr fontId="2"/>
  </si>
  <si>
    <t>https://chatgpt.com/c/693260aa-55a8-8322-a9e0-c05f25ef3cdb</t>
    <phoneticPr fontId="2"/>
  </si>
  <si>
    <t>URL1</t>
    <phoneticPr fontId="2"/>
  </si>
  <si>
    <t>URL2</t>
    <phoneticPr fontId="2"/>
  </si>
  <si>
    <t>【AIMC】000_03_02_スレ構造設計/ToDo抽出</t>
    <phoneticPr fontId="2"/>
  </si>
  <si>
    <t>https://chatgpt.com/c/69327e1a-9cb4-8324-8f86-a43190520ddc</t>
  </si>
  <si>
    <t>Next.js プロジェクトとして初期化</t>
    <phoneticPr fontId="2"/>
  </si>
  <si>
    <t>全ファイルたたき台作成</t>
    <rPh sb="0" eb="1">
      <t>ゼン</t>
    </rPh>
    <rPh sb="8" eb="9">
      <t>ダイ</t>
    </rPh>
    <rPh sb="9" eb="11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</si>
</sst>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07ロゴたいぷゴシック7"/>
      <family val="3"/>
      <charset val="128"/>
    </font>
    <font>
      <b/>
      <sz val="11"/>
      <color theme="1"/>
      <name val="07ロゴたいぷゴシック7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10" borderId="1" xfId="0" applyFont="1" applyFill="1" applyBorder="1">
      <alignment vertical="center"/>
    </xf>
    <xf numFmtId="0" fontId="5" fillId="0" borderId="0" xfId="0" applyFont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14" fontId="6" fillId="10" borderId="8" xfId="0" applyNumberFormat="1" applyFont="1" applyFill="1" applyBorder="1" applyAlignment="1">
      <alignment horizontal="center" vertical="center"/>
    </xf>
    <xf numFmtId="14" fontId="6" fillId="10" borderId="9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6" fillId="10" borderId="1" xfId="0" applyFont="1" applyFill="1" applyBorder="1" applyAlignment="1">
      <alignment vertical="center" shrinkToFit="1"/>
    </xf>
    <xf numFmtId="0" fontId="5" fillId="9" borderId="1" xfId="0" applyFont="1" applyFill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2" fillId="0" borderId="1" xfId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C66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c/693260aa-55a8-8322-a9e0-c05f25ef3c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EC91-2345-440C-970C-C173E23FF462}">
  <dimension ref="A1:I48"/>
  <sheetViews>
    <sheetView workbookViewId="0">
      <selection activeCell="F13" sqref="F13"/>
    </sheetView>
  </sheetViews>
  <sheetFormatPr defaultRowHeight="18" x14ac:dyDescent="0.45"/>
  <cols>
    <col min="1" max="1" width="6.3984375" customWidth="1"/>
    <col min="2" max="2" width="8.796875" style="9"/>
  </cols>
  <sheetData>
    <row r="1" spans="1:9" s="5" customFormat="1" ht="15" x14ac:dyDescent="0.45">
      <c r="A1" s="4" t="s">
        <v>1</v>
      </c>
      <c r="B1" s="6"/>
      <c r="C1" s="2"/>
      <c r="D1" s="2"/>
      <c r="E1" s="2"/>
      <c r="F1" s="2"/>
      <c r="G1" s="2" t="s">
        <v>0</v>
      </c>
      <c r="H1" s="2"/>
      <c r="I1" s="2"/>
    </row>
    <row r="2" spans="1:9" s="17" customFormat="1" ht="15" x14ac:dyDescent="0.45">
      <c r="A2" s="7" t="s">
        <v>8</v>
      </c>
      <c r="B2" s="7" t="s">
        <v>9</v>
      </c>
      <c r="C2" s="7" t="s">
        <v>14</v>
      </c>
      <c r="D2" s="11" t="s">
        <v>2</v>
      </c>
      <c r="E2" s="12" t="s">
        <v>3</v>
      </c>
      <c r="F2" s="13" t="s">
        <v>4</v>
      </c>
      <c r="G2" s="14" t="s">
        <v>5</v>
      </c>
      <c r="H2" s="15" t="s">
        <v>7</v>
      </c>
      <c r="I2" s="16" t="s">
        <v>6</v>
      </c>
    </row>
    <row r="3" spans="1:9" x14ac:dyDescent="0.45">
      <c r="A3" s="2">
        <v>2025</v>
      </c>
      <c r="B3" s="8">
        <v>12</v>
      </c>
      <c r="C3" s="3"/>
      <c r="D3" s="19" t="s">
        <v>10</v>
      </c>
      <c r="E3" s="2"/>
      <c r="F3" s="2"/>
      <c r="G3" s="18"/>
      <c r="H3" s="2"/>
      <c r="I3" s="2"/>
    </row>
    <row r="4" spans="1:9" x14ac:dyDescent="0.45">
      <c r="A4" s="2">
        <v>2026</v>
      </c>
      <c r="B4" s="8">
        <v>1</v>
      </c>
      <c r="C4" s="3"/>
      <c r="D4" s="2"/>
      <c r="E4" s="20" t="s">
        <v>13</v>
      </c>
      <c r="F4" s="2"/>
      <c r="G4" s="18"/>
      <c r="H4" s="2"/>
      <c r="I4" s="2"/>
    </row>
    <row r="5" spans="1:9" x14ac:dyDescent="0.45">
      <c r="A5" s="2"/>
      <c r="B5" s="8">
        <v>2</v>
      </c>
      <c r="C5" s="3"/>
      <c r="D5" s="2"/>
      <c r="E5" s="20" t="s">
        <v>10</v>
      </c>
      <c r="F5" s="2"/>
      <c r="G5" s="18"/>
      <c r="H5" s="2"/>
      <c r="I5" s="2"/>
    </row>
    <row r="6" spans="1:9" x14ac:dyDescent="0.45">
      <c r="A6" s="2"/>
      <c r="B6" s="8">
        <v>3</v>
      </c>
      <c r="C6" s="3"/>
      <c r="D6" s="2"/>
      <c r="E6" s="2"/>
      <c r="F6" s="21" t="s">
        <v>13</v>
      </c>
      <c r="G6" s="18" t="s">
        <v>11</v>
      </c>
      <c r="H6" s="2"/>
      <c r="I6" s="2"/>
    </row>
    <row r="7" spans="1:9" x14ac:dyDescent="0.45">
      <c r="A7" s="2"/>
      <c r="B7" s="8">
        <v>4</v>
      </c>
      <c r="C7" s="3"/>
      <c r="D7" s="3"/>
      <c r="E7" s="2"/>
      <c r="F7" s="21" t="s">
        <v>10</v>
      </c>
      <c r="G7" s="18"/>
      <c r="H7" s="2"/>
      <c r="I7" s="2"/>
    </row>
    <row r="8" spans="1:9" x14ac:dyDescent="0.45">
      <c r="A8" s="3"/>
      <c r="B8" s="8">
        <v>5</v>
      </c>
      <c r="C8" s="3"/>
      <c r="D8" s="2"/>
      <c r="E8" s="2"/>
      <c r="F8" s="2"/>
      <c r="G8" s="18" t="s">
        <v>15</v>
      </c>
      <c r="H8" s="2"/>
      <c r="I8" s="2"/>
    </row>
    <row r="9" spans="1:9" x14ac:dyDescent="0.45">
      <c r="A9" s="2"/>
      <c r="B9" s="8">
        <v>6</v>
      </c>
      <c r="C9" s="2"/>
      <c r="D9" s="3"/>
      <c r="E9" s="2"/>
      <c r="F9" s="2"/>
      <c r="G9" s="18" t="s">
        <v>16</v>
      </c>
      <c r="H9" s="2"/>
      <c r="I9" s="2"/>
    </row>
    <row r="10" spans="1:9" x14ac:dyDescent="0.45">
      <c r="A10" s="2"/>
      <c r="B10" s="8">
        <v>7</v>
      </c>
      <c r="C10" s="2"/>
      <c r="D10" s="3"/>
      <c r="E10" s="2"/>
      <c r="F10" s="2"/>
      <c r="G10" s="18"/>
      <c r="H10" s="2"/>
      <c r="I10" s="2"/>
    </row>
    <row r="11" spans="1:9" x14ac:dyDescent="0.45">
      <c r="A11" s="2"/>
      <c r="B11" s="8">
        <v>8</v>
      </c>
      <c r="C11" s="2" t="s">
        <v>12</v>
      </c>
      <c r="D11" s="3"/>
      <c r="E11" s="2"/>
      <c r="F11" s="2"/>
      <c r="G11" s="18"/>
      <c r="H11" s="2"/>
      <c r="I11" s="2"/>
    </row>
    <row r="12" spans="1:9" x14ac:dyDescent="0.45">
      <c r="A12" s="2"/>
      <c r="B12" s="8">
        <v>9</v>
      </c>
      <c r="C12" s="2" t="s">
        <v>12</v>
      </c>
      <c r="D12" s="3"/>
      <c r="E12" s="2"/>
      <c r="F12" s="2"/>
      <c r="G12" s="18"/>
      <c r="H12" s="2"/>
      <c r="I12" s="2"/>
    </row>
    <row r="13" spans="1:9" x14ac:dyDescent="0.45">
      <c r="A13" s="2"/>
      <c r="B13" s="8">
        <v>10</v>
      </c>
      <c r="C13" s="2" t="s">
        <v>12</v>
      </c>
      <c r="D13" s="3"/>
      <c r="E13" s="2"/>
      <c r="F13" s="2"/>
      <c r="G13" s="18"/>
      <c r="H13" s="2"/>
      <c r="I13" s="2"/>
    </row>
    <row r="14" spans="1:9" x14ac:dyDescent="0.45">
      <c r="A14" s="2"/>
      <c r="B14" s="8">
        <v>11</v>
      </c>
      <c r="C14" s="2" t="s">
        <v>12</v>
      </c>
      <c r="D14" s="3"/>
      <c r="E14" s="2"/>
      <c r="F14" s="2"/>
      <c r="G14" s="18"/>
      <c r="H14" s="2"/>
      <c r="I14" s="2"/>
    </row>
    <row r="15" spans="1:9" x14ac:dyDescent="0.45">
      <c r="A15" s="2"/>
      <c r="B15" s="8">
        <v>12</v>
      </c>
      <c r="C15" s="2"/>
      <c r="D15" s="3"/>
      <c r="E15" s="2"/>
      <c r="F15" s="2"/>
      <c r="G15" s="18"/>
      <c r="H15" s="2"/>
      <c r="I15" s="2"/>
    </row>
    <row r="16" spans="1:9" x14ac:dyDescent="0.45">
      <c r="A16" s="2">
        <v>2027</v>
      </c>
      <c r="B16" s="8">
        <v>1</v>
      </c>
      <c r="C16" s="3"/>
      <c r="D16" s="2"/>
      <c r="E16" s="2"/>
      <c r="F16" s="2"/>
      <c r="G16" s="18" t="s">
        <v>17</v>
      </c>
      <c r="H16" s="2"/>
      <c r="I16" s="2"/>
    </row>
    <row r="17" spans="1:9" x14ac:dyDescent="0.45">
      <c r="A17" s="3"/>
      <c r="B17" s="8">
        <v>2</v>
      </c>
      <c r="C17" s="3"/>
      <c r="D17" s="2"/>
      <c r="E17" s="2"/>
      <c r="F17" s="2"/>
      <c r="G17" s="18"/>
      <c r="H17" s="2"/>
      <c r="I17" s="2"/>
    </row>
    <row r="18" spans="1:9" x14ac:dyDescent="0.45">
      <c r="A18" s="2"/>
      <c r="B18" s="8">
        <v>3</v>
      </c>
      <c r="C18" s="3"/>
      <c r="D18" s="2"/>
      <c r="E18" s="2"/>
      <c r="F18" s="2"/>
      <c r="G18" s="18"/>
      <c r="H18" s="2"/>
      <c r="I18" s="2"/>
    </row>
    <row r="19" spans="1:9" x14ac:dyDescent="0.45">
      <c r="A19" s="3"/>
      <c r="B19" s="8">
        <v>4</v>
      </c>
      <c r="C19" s="3"/>
      <c r="D19" s="2"/>
      <c r="E19" s="2"/>
      <c r="F19" s="2"/>
      <c r="G19" s="18"/>
      <c r="H19" s="2" t="s">
        <v>13</v>
      </c>
      <c r="I19" s="2"/>
    </row>
    <row r="20" spans="1:9" x14ac:dyDescent="0.45">
      <c r="A20" s="2"/>
      <c r="B20" s="8">
        <v>5</v>
      </c>
      <c r="C20" s="3"/>
      <c r="D20" s="2"/>
      <c r="E20" s="2"/>
      <c r="F20" s="2"/>
      <c r="G20" s="18"/>
      <c r="H20" s="2"/>
      <c r="I20" s="2"/>
    </row>
    <row r="21" spans="1:9" x14ac:dyDescent="0.45">
      <c r="A21" s="3"/>
      <c r="B21" s="8">
        <v>6</v>
      </c>
      <c r="C21" s="3"/>
      <c r="D21" s="2"/>
      <c r="E21" s="2"/>
      <c r="F21" s="2"/>
      <c r="G21" s="18"/>
      <c r="H21" s="2"/>
      <c r="I21" s="2"/>
    </row>
    <row r="22" spans="1:9" x14ac:dyDescent="0.45">
      <c r="A22" s="2"/>
      <c r="B22" s="8">
        <v>7</v>
      </c>
      <c r="C22" s="3"/>
      <c r="D22" s="2"/>
      <c r="E22" s="2"/>
      <c r="F22" s="2"/>
      <c r="G22" s="18"/>
      <c r="H22" s="2"/>
      <c r="I22" s="2"/>
    </row>
    <row r="23" spans="1:9" x14ac:dyDescent="0.45">
      <c r="A23" s="2"/>
      <c r="B23" s="8">
        <v>8</v>
      </c>
      <c r="C23" s="2"/>
      <c r="D23" s="2"/>
      <c r="E23" s="2"/>
      <c r="F23" s="2"/>
      <c r="G23" s="18" t="s">
        <v>18</v>
      </c>
      <c r="H23" s="2"/>
      <c r="I23" s="2"/>
    </row>
    <row r="24" spans="1:9" x14ac:dyDescent="0.45">
      <c r="A24" s="2"/>
      <c r="B24" s="8">
        <v>9</v>
      </c>
      <c r="C24" s="2"/>
      <c r="D24" s="2"/>
      <c r="E24" s="2"/>
      <c r="F24" s="2"/>
      <c r="G24" s="18"/>
      <c r="H24" s="2"/>
      <c r="I24" s="2"/>
    </row>
    <row r="25" spans="1:9" x14ac:dyDescent="0.45">
      <c r="A25" s="2"/>
      <c r="B25" s="8">
        <v>10</v>
      </c>
      <c r="C25" s="2"/>
      <c r="D25" s="2"/>
      <c r="E25" s="2"/>
      <c r="F25" s="2"/>
      <c r="G25" s="18"/>
      <c r="H25" s="2" t="s">
        <v>10</v>
      </c>
      <c r="I25" s="2"/>
    </row>
    <row r="26" spans="1:9" x14ac:dyDescent="0.45">
      <c r="A26" s="2"/>
      <c r="B26" s="8">
        <v>11</v>
      </c>
      <c r="C26" s="2"/>
      <c r="D26" s="2"/>
      <c r="E26" s="2"/>
      <c r="F26" s="2"/>
      <c r="G26" s="18"/>
      <c r="H26" s="2"/>
      <c r="I26" s="2"/>
    </row>
    <row r="27" spans="1:9" x14ac:dyDescent="0.45">
      <c r="A27" s="3"/>
      <c r="B27" s="8">
        <v>12</v>
      </c>
      <c r="C27" s="2"/>
      <c r="D27" s="2"/>
      <c r="E27" s="2"/>
      <c r="F27" s="2"/>
      <c r="G27" s="18"/>
      <c r="H27" s="2"/>
      <c r="I27" s="2"/>
    </row>
    <row r="28" spans="1:9" x14ac:dyDescent="0.45">
      <c r="A28" s="2">
        <v>2028</v>
      </c>
      <c r="B28" s="8">
        <v>1</v>
      </c>
      <c r="C28" s="2"/>
      <c r="D28" s="2"/>
      <c r="E28" s="2"/>
      <c r="F28" s="2"/>
      <c r="G28" s="18"/>
      <c r="H28" s="2"/>
      <c r="I28" s="2"/>
    </row>
    <row r="29" spans="1:9" x14ac:dyDescent="0.45">
      <c r="A29" s="2"/>
      <c r="B29" s="8">
        <v>2</v>
      </c>
      <c r="C29" s="2"/>
      <c r="D29" s="2"/>
      <c r="E29" s="2"/>
      <c r="F29" s="2"/>
      <c r="G29" s="18"/>
      <c r="H29" s="2"/>
      <c r="I29" s="2"/>
    </row>
    <row r="30" spans="1:9" x14ac:dyDescent="0.45">
      <c r="A30" s="2"/>
      <c r="B30" s="8">
        <v>3</v>
      </c>
      <c r="C30" s="2"/>
      <c r="D30" s="2"/>
      <c r="E30" s="2"/>
      <c r="F30" s="2"/>
      <c r="G30" s="18" t="s">
        <v>19</v>
      </c>
      <c r="H30" s="2"/>
      <c r="I30" s="2" t="s">
        <v>10</v>
      </c>
    </row>
    <row r="31" spans="1:9" x14ac:dyDescent="0.45">
      <c r="A31" s="2"/>
      <c r="B31" s="8">
        <v>4</v>
      </c>
      <c r="C31" s="2"/>
      <c r="D31" s="2"/>
      <c r="E31" s="2"/>
      <c r="F31" s="2"/>
      <c r="G31" s="2"/>
      <c r="H31" s="2"/>
      <c r="I31" s="2"/>
    </row>
    <row r="32" spans="1:9" x14ac:dyDescent="0.45">
      <c r="A32" s="2"/>
      <c r="B32" s="8">
        <v>5</v>
      </c>
      <c r="C32" s="2"/>
      <c r="D32" s="2"/>
      <c r="E32" s="2"/>
      <c r="F32" s="2"/>
      <c r="G32" s="2"/>
      <c r="H32" s="2"/>
      <c r="I32" s="2"/>
    </row>
    <row r="34" spans="1:3" ht="22.2" x14ac:dyDescent="0.45">
      <c r="B34" s="10"/>
      <c r="C34" s="1"/>
    </row>
    <row r="35" spans="1:3" x14ac:dyDescent="0.45">
      <c r="C35" s="1"/>
    </row>
    <row r="39" spans="1:3" x14ac:dyDescent="0.45">
      <c r="A39" s="1"/>
    </row>
    <row r="41" spans="1:3" x14ac:dyDescent="0.45">
      <c r="A41" s="1"/>
    </row>
    <row r="46" spans="1:3" x14ac:dyDescent="0.45">
      <c r="A46" s="1"/>
    </row>
    <row r="48" spans="1:3" x14ac:dyDescent="0.45">
      <c r="A48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8726-743C-4931-BB62-5D09156F662A}">
  <dimension ref="A1:I128"/>
  <sheetViews>
    <sheetView tabSelected="1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B36" sqref="B36"/>
    </sheetView>
  </sheetViews>
  <sheetFormatPr defaultRowHeight="18" x14ac:dyDescent="0.45"/>
  <cols>
    <col min="1" max="1" width="12.296875" style="28" customWidth="1"/>
    <col min="2" max="2" width="33.796875" style="26" customWidth="1"/>
    <col min="3" max="3" width="19.69921875" style="26" customWidth="1"/>
    <col min="4" max="4" width="6.796875" bestFit="1" customWidth="1"/>
    <col min="5" max="5" width="6.5" customWidth="1"/>
    <col min="6" max="7" width="8.796875" style="61"/>
    <col min="9" max="9" width="22.5" customWidth="1"/>
  </cols>
  <sheetData>
    <row r="1" spans="1:9" x14ac:dyDescent="0.45">
      <c r="A1" s="29" t="s">
        <v>24</v>
      </c>
      <c r="B1" s="27"/>
      <c r="C1" s="27"/>
      <c r="D1" s="33">
        <f ca="1">TODAY()</f>
        <v>45996</v>
      </c>
      <c r="E1" s="34"/>
      <c r="F1" s="57"/>
      <c r="G1" s="57"/>
      <c r="H1" s="27"/>
      <c r="I1" s="27"/>
    </row>
    <row r="2" spans="1:9" s="26" customFormat="1" ht="37.799999999999997" customHeight="1" x14ac:dyDescent="0.45">
      <c r="A2" s="30" t="s">
        <v>20</v>
      </c>
      <c r="B2" s="23" t="s">
        <v>29</v>
      </c>
      <c r="C2" s="23" t="s">
        <v>28</v>
      </c>
      <c r="D2" s="23" t="s">
        <v>75</v>
      </c>
      <c r="E2" s="23" t="s">
        <v>21</v>
      </c>
      <c r="F2" s="58" t="s">
        <v>265</v>
      </c>
      <c r="G2" s="58" t="s">
        <v>266</v>
      </c>
      <c r="H2" s="23" t="s">
        <v>87</v>
      </c>
      <c r="I2" s="23" t="s">
        <v>22</v>
      </c>
    </row>
    <row r="3" spans="1:9" x14ac:dyDescent="0.45">
      <c r="A3" s="38" t="s">
        <v>31</v>
      </c>
      <c r="B3" s="24" t="s">
        <v>26</v>
      </c>
      <c r="C3" s="24"/>
      <c r="D3" s="22"/>
      <c r="E3" s="22"/>
      <c r="F3" s="59" t="s">
        <v>23</v>
      </c>
      <c r="G3" s="59"/>
      <c r="H3" s="22"/>
      <c r="I3" s="22"/>
    </row>
    <row r="4" spans="1:9" x14ac:dyDescent="0.45">
      <c r="A4" s="39"/>
      <c r="B4" s="24" t="s">
        <v>36</v>
      </c>
      <c r="C4" s="24"/>
      <c r="D4" s="22"/>
      <c r="E4" s="22"/>
      <c r="F4" s="59"/>
      <c r="G4" s="59"/>
      <c r="H4" s="22"/>
      <c r="I4" s="22"/>
    </row>
    <row r="5" spans="1:9" ht="54" x14ac:dyDescent="0.45">
      <c r="A5" s="39"/>
      <c r="B5" s="24" t="s">
        <v>263</v>
      </c>
      <c r="C5" s="24" t="s">
        <v>267</v>
      </c>
      <c r="D5" s="22"/>
      <c r="E5" s="22"/>
      <c r="F5" s="59" t="s">
        <v>86</v>
      </c>
      <c r="G5" s="60" t="s">
        <v>264</v>
      </c>
      <c r="I5" s="22"/>
    </row>
    <row r="6" spans="1:9" x14ac:dyDescent="0.45">
      <c r="A6" s="40"/>
      <c r="B6" s="24"/>
      <c r="C6" s="24"/>
      <c r="D6" s="22"/>
      <c r="E6" s="22"/>
      <c r="F6" s="59"/>
      <c r="G6" s="59"/>
      <c r="H6" s="22"/>
      <c r="I6" s="22"/>
    </row>
    <row r="7" spans="1:9" x14ac:dyDescent="0.45">
      <c r="A7" s="41" t="s">
        <v>32</v>
      </c>
      <c r="B7" s="24" t="s">
        <v>25</v>
      </c>
      <c r="C7" s="24"/>
      <c r="D7" s="22"/>
      <c r="E7" s="22"/>
      <c r="F7" s="59"/>
      <c r="G7" s="59"/>
      <c r="H7" s="22"/>
      <c r="I7" s="22"/>
    </row>
    <row r="8" spans="1:9" x14ac:dyDescent="0.45">
      <c r="A8" s="42"/>
      <c r="B8" s="24" t="s">
        <v>27</v>
      </c>
      <c r="C8" s="24"/>
      <c r="D8" s="22"/>
      <c r="E8" s="22" t="s">
        <v>105</v>
      </c>
      <c r="F8" s="59"/>
      <c r="G8" s="59"/>
      <c r="H8" s="22"/>
      <c r="I8" s="22"/>
    </row>
    <row r="9" spans="1:9" ht="36" x14ac:dyDescent="0.45">
      <c r="A9" s="42"/>
      <c r="B9" s="24" t="s">
        <v>30</v>
      </c>
      <c r="C9" s="24"/>
      <c r="D9" s="22"/>
      <c r="E9" s="22"/>
      <c r="F9" s="59"/>
      <c r="G9" s="59"/>
      <c r="H9" s="22"/>
      <c r="I9" s="22"/>
    </row>
    <row r="10" spans="1:9" ht="36" x14ac:dyDescent="0.45">
      <c r="A10" s="42"/>
      <c r="B10" s="24" t="s">
        <v>257</v>
      </c>
      <c r="C10" s="24"/>
      <c r="D10" s="22"/>
      <c r="E10" s="22"/>
      <c r="F10" s="59"/>
      <c r="G10" s="59"/>
      <c r="H10" s="22"/>
      <c r="I10" s="22"/>
    </row>
    <row r="11" spans="1:9" ht="36" x14ac:dyDescent="0.45">
      <c r="A11" s="42"/>
      <c r="B11" s="24" t="s">
        <v>256</v>
      </c>
      <c r="C11" s="24"/>
      <c r="D11" s="22"/>
      <c r="E11" s="22"/>
      <c r="F11" s="59"/>
      <c r="G11" s="59"/>
      <c r="H11" s="22"/>
      <c r="I11" s="22"/>
    </row>
    <row r="12" spans="1:9" ht="36" x14ac:dyDescent="0.45">
      <c r="A12" s="42"/>
      <c r="B12" s="24" t="s">
        <v>258</v>
      </c>
      <c r="C12" s="24"/>
      <c r="D12" s="22"/>
      <c r="E12" s="22"/>
      <c r="F12" s="59"/>
      <c r="G12" s="59"/>
      <c r="H12" s="22"/>
      <c r="I12" s="22"/>
    </row>
    <row r="13" spans="1:9" ht="36" x14ac:dyDescent="0.45">
      <c r="A13" s="42"/>
      <c r="B13" s="24" t="s">
        <v>260</v>
      </c>
      <c r="C13" s="24"/>
      <c r="D13" s="22"/>
      <c r="E13" s="22"/>
      <c r="F13" s="59"/>
      <c r="G13" s="59"/>
      <c r="H13" s="22"/>
      <c r="I13" s="22"/>
    </row>
    <row r="14" spans="1:9" ht="86.4" customHeight="1" x14ac:dyDescent="0.45">
      <c r="A14" s="42"/>
      <c r="B14" s="24" t="s">
        <v>255</v>
      </c>
      <c r="C14" s="24"/>
      <c r="D14" s="22"/>
      <c r="E14" s="22"/>
      <c r="F14" s="59"/>
      <c r="G14" s="59"/>
      <c r="H14" s="22"/>
      <c r="I14" s="56" t="s">
        <v>259</v>
      </c>
    </row>
    <row r="15" spans="1:9" x14ac:dyDescent="0.45">
      <c r="A15" s="43"/>
      <c r="B15" s="24"/>
      <c r="C15" s="24"/>
      <c r="D15" s="22"/>
      <c r="E15" s="22"/>
      <c r="F15" s="59"/>
      <c r="G15" s="59"/>
      <c r="H15" s="22"/>
      <c r="I15" s="22"/>
    </row>
    <row r="16" spans="1:9" ht="36" x14ac:dyDescent="0.45">
      <c r="A16" s="44" t="s">
        <v>33</v>
      </c>
      <c r="B16" s="24" t="s">
        <v>79</v>
      </c>
      <c r="C16" s="24" t="s">
        <v>47</v>
      </c>
      <c r="D16" s="22"/>
      <c r="E16" s="22"/>
      <c r="F16" s="59"/>
      <c r="G16" s="59"/>
      <c r="H16" s="22"/>
      <c r="I16" s="22"/>
    </row>
    <row r="17" spans="1:9" ht="36" x14ac:dyDescent="0.45">
      <c r="A17" s="45"/>
      <c r="B17" s="24" t="s">
        <v>80</v>
      </c>
      <c r="C17" s="24" t="s">
        <v>48</v>
      </c>
      <c r="D17" s="22" t="s">
        <v>82</v>
      </c>
      <c r="E17" s="22"/>
      <c r="F17" s="59"/>
      <c r="G17" s="59"/>
      <c r="H17" s="22"/>
      <c r="I17" s="22"/>
    </row>
    <row r="18" spans="1:9" ht="36" x14ac:dyDescent="0.45">
      <c r="A18" s="45"/>
      <c r="B18" s="24" t="s">
        <v>81</v>
      </c>
      <c r="C18" s="24" t="s">
        <v>49</v>
      </c>
      <c r="D18" s="22" t="s">
        <v>83</v>
      </c>
      <c r="E18" s="22"/>
      <c r="F18" s="59"/>
      <c r="G18" s="59"/>
      <c r="H18" s="22"/>
      <c r="I18" s="22"/>
    </row>
    <row r="19" spans="1:9" ht="36" x14ac:dyDescent="0.45">
      <c r="A19" s="45"/>
      <c r="B19" s="24" t="s">
        <v>77</v>
      </c>
      <c r="C19" s="24" t="s">
        <v>78</v>
      </c>
      <c r="D19" s="22" t="s">
        <v>84</v>
      </c>
      <c r="E19" s="22"/>
      <c r="F19" s="59"/>
      <c r="G19" s="59"/>
      <c r="H19" s="22"/>
      <c r="I19" s="22"/>
    </row>
    <row r="20" spans="1:9" x14ac:dyDescent="0.45">
      <c r="A20" s="45"/>
      <c r="B20" s="24" t="s">
        <v>38</v>
      </c>
      <c r="C20" s="24"/>
      <c r="D20" s="22" t="s">
        <v>84</v>
      </c>
      <c r="E20" s="22"/>
      <c r="F20" s="59"/>
      <c r="G20" s="59"/>
      <c r="H20" s="22"/>
      <c r="I20" s="22"/>
    </row>
    <row r="21" spans="1:9" x14ac:dyDescent="0.45">
      <c r="A21" s="45"/>
      <c r="B21" s="24" t="s">
        <v>39</v>
      </c>
      <c r="C21" s="24"/>
      <c r="D21" s="22" t="s">
        <v>84</v>
      </c>
      <c r="E21" s="22"/>
      <c r="F21" s="59"/>
      <c r="G21" s="59"/>
      <c r="H21" s="22"/>
      <c r="I21" s="22"/>
    </row>
    <row r="22" spans="1:9" x14ac:dyDescent="0.45">
      <c r="A22" s="45"/>
      <c r="B22" s="24" t="s">
        <v>40</v>
      </c>
      <c r="C22" s="24"/>
      <c r="D22" s="22" t="s">
        <v>84</v>
      </c>
      <c r="E22" s="22"/>
      <c r="F22" s="59"/>
      <c r="G22" s="59"/>
      <c r="H22" s="22"/>
      <c r="I22" s="22"/>
    </row>
    <row r="23" spans="1:9" x14ac:dyDescent="0.45">
      <c r="A23" s="45"/>
      <c r="B23" s="24" t="s">
        <v>41</v>
      </c>
      <c r="C23" s="24"/>
      <c r="D23" s="22" t="s">
        <v>84</v>
      </c>
      <c r="E23" s="22"/>
      <c r="F23" s="59"/>
      <c r="G23" s="59"/>
      <c r="H23" s="22"/>
      <c r="I23" s="22"/>
    </row>
    <row r="24" spans="1:9" x14ac:dyDescent="0.45">
      <c r="A24" s="45"/>
      <c r="B24" t="s">
        <v>88</v>
      </c>
      <c r="C24" s="24"/>
      <c r="D24" s="22"/>
      <c r="E24" s="22"/>
      <c r="F24" s="59"/>
      <c r="G24" s="59"/>
      <c r="H24" s="22"/>
      <c r="I24" s="22"/>
    </row>
    <row r="25" spans="1:9" x14ac:dyDescent="0.45">
      <c r="A25" s="45"/>
      <c r="B25" t="s">
        <v>89</v>
      </c>
      <c r="C25" s="24"/>
      <c r="D25" s="22"/>
      <c r="E25" s="22"/>
      <c r="F25" s="59"/>
      <c r="G25" s="59"/>
      <c r="H25" s="22"/>
      <c r="I25" s="22"/>
    </row>
    <row r="26" spans="1:9" x14ac:dyDescent="0.45">
      <c r="A26" s="45"/>
      <c r="B26" t="s">
        <v>90</v>
      </c>
      <c r="C26" s="24"/>
      <c r="D26" s="22"/>
      <c r="E26" s="22"/>
      <c r="F26" s="59"/>
      <c r="G26" s="59"/>
      <c r="H26" s="22"/>
      <c r="I26" s="22"/>
    </row>
    <row r="27" spans="1:9" x14ac:dyDescent="0.45">
      <c r="A27" s="45"/>
      <c r="B27" t="s">
        <v>92</v>
      </c>
      <c r="C27" s="24"/>
      <c r="D27" s="22"/>
      <c r="E27" s="22"/>
      <c r="F27" s="59"/>
      <c r="G27" s="59"/>
      <c r="H27" s="22"/>
      <c r="I27" s="22"/>
    </row>
    <row r="28" spans="1:9" x14ac:dyDescent="0.45">
      <c r="A28" s="45"/>
      <c r="B28" t="s">
        <v>91</v>
      </c>
      <c r="C28" s="24"/>
      <c r="D28" s="22"/>
      <c r="E28" s="22"/>
      <c r="F28" s="59"/>
      <c r="G28" s="59"/>
      <c r="H28" s="22"/>
      <c r="I28" s="22"/>
    </row>
    <row r="29" spans="1:9" x14ac:dyDescent="0.45">
      <c r="A29" s="45"/>
      <c r="B29" s="24"/>
      <c r="C29" s="24"/>
      <c r="D29" s="22"/>
      <c r="E29" s="22"/>
      <c r="F29" s="59"/>
      <c r="G29" s="59"/>
      <c r="H29" s="22"/>
      <c r="I29" s="22"/>
    </row>
    <row r="30" spans="1:9" x14ac:dyDescent="0.45">
      <c r="A30" s="46"/>
      <c r="B30" s="24"/>
      <c r="C30" s="24"/>
      <c r="D30" s="22"/>
      <c r="E30" s="22"/>
      <c r="F30" s="59"/>
      <c r="G30" s="59"/>
      <c r="H30" s="22"/>
      <c r="I30" s="22"/>
    </row>
    <row r="31" spans="1:9" ht="36" x14ac:dyDescent="0.45">
      <c r="A31" s="47" t="s">
        <v>37</v>
      </c>
      <c r="B31" s="62" t="s">
        <v>155</v>
      </c>
      <c r="C31" s="62"/>
      <c r="D31" s="63" t="s">
        <v>83</v>
      </c>
      <c r="E31" s="63" t="s">
        <v>105</v>
      </c>
      <c r="F31" s="59" t="s">
        <v>154</v>
      </c>
      <c r="G31" s="59"/>
      <c r="H31" s="22"/>
      <c r="I31" s="22"/>
    </row>
    <row r="32" spans="1:9" ht="36" x14ac:dyDescent="0.45">
      <c r="A32" s="48"/>
      <c r="B32" s="62" t="s">
        <v>251</v>
      </c>
      <c r="C32" s="62" t="s">
        <v>252</v>
      </c>
      <c r="D32" s="63" t="s">
        <v>83</v>
      </c>
      <c r="E32" s="63" t="s">
        <v>105</v>
      </c>
      <c r="F32" s="59" t="s">
        <v>228</v>
      </c>
      <c r="G32" s="59" t="s">
        <v>268</v>
      </c>
      <c r="H32" s="22"/>
      <c r="I32" s="22"/>
    </row>
    <row r="33" spans="1:9" x14ac:dyDescent="0.45">
      <c r="A33" s="48"/>
      <c r="B33" s="62" t="s">
        <v>241</v>
      </c>
      <c r="C33" s="62"/>
      <c r="D33" s="63" t="s">
        <v>83</v>
      </c>
      <c r="E33" s="63" t="s">
        <v>105</v>
      </c>
      <c r="F33" s="59"/>
      <c r="G33" s="59"/>
      <c r="H33" s="22"/>
      <c r="I33" s="22"/>
    </row>
    <row r="34" spans="1:9" x14ac:dyDescent="0.45">
      <c r="A34" s="48"/>
      <c r="B34" s="62" t="s">
        <v>270</v>
      </c>
      <c r="C34" s="62"/>
      <c r="D34" s="63" t="s">
        <v>85</v>
      </c>
      <c r="E34" s="63" t="s">
        <v>105</v>
      </c>
      <c r="F34" s="59"/>
      <c r="G34" s="59"/>
      <c r="H34" s="22"/>
      <c r="I34" s="22"/>
    </row>
    <row r="35" spans="1:9" x14ac:dyDescent="0.45">
      <c r="A35" s="48"/>
      <c r="B35" s="24" t="s">
        <v>269</v>
      </c>
      <c r="C35" s="24"/>
      <c r="D35" s="22"/>
      <c r="E35" s="22"/>
      <c r="F35" s="59"/>
      <c r="G35" s="59"/>
      <c r="H35" s="22"/>
      <c r="I35" s="22"/>
    </row>
    <row r="36" spans="1:9" x14ac:dyDescent="0.45">
      <c r="A36" s="48"/>
      <c r="B36" s="24" t="s">
        <v>156</v>
      </c>
      <c r="C36" s="24"/>
      <c r="D36" s="22"/>
      <c r="E36" s="22"/>
      <c r="F36" s="59"/>
      <c r="G36" s="59"/>
      <c r="H36" s="22"/>
      <c r="I36" s="22"/>
    </row>
    <row r="37" spans="1:9" x14ac:dyDescent="0.45">
      <c r="A37" s="48"/>
      <c r="B37" s="24" t="s">
        <v>242</v>
      </c>
      <c r="C37" s="24" t="s">
        <v>56</v>
      </c>
      <c r="D37" s="22" t="s">
        <v>85</v>
      </c>
      <c r="E37" s="22"/>
      <c r="F37" s="59"/>
      <c r="G37" s="59"/>
      <c r="H37" s="22"/>
      <c r="I37" s="22"/>
    </row>
    <row r="38" spans="1:9" x14ac:dyDescent="0.45">
      <c r="A38" s="48"/>
      <c r="B38" s="24"/>
      <c r="C38" s="24" t="s">
        <v>45</v>
      </c>
      <c r="D38" s="22"/>
      <c r="E38" s="22"/>
      <c r="F38" s="59"/>
      <c r="G38" s="59"/>
      <c r="H38" s="22"/>
      <c r="I38" s="22"/>
    </row>
    <row r="39" spans="1:9" x14ac:dyDescent="0.45">
      <c r="A39" s="48"/>
      <c r="B39" s="24"/>
      <c r="C39" s="24" t="s">
        <v>50</v>
      </c>
      <c r="D39" s="22"/>
      <c r="E39" s="22"/>
      <c r="F39" s="59"/>
      <c r="G39" s="59"/>
      <c r="H39" s="22"/>
      <c r="I39" s="22"/>
    </row>
    <row r="40" spans="1:9" x14ac:dyDescent="0.45">
      <c r="A40" s="48"/>
      <c r="B40" s="24"/>
      <c r="C40" s="24" t="s">
        <v>53</v>
      </c>
      <c r="D40" s="22"/>
      <c r="E40" s="22"/>
      <c r="F40" s="59"/>
      <c r="G40" s="59"/>
      <c r="H40" s="22"/>
      <c r="I40" s="22"/>
    </row>
    <row r="41" spans="1:9" x14ac:dyDescent="0.45">
      <c r="A41" s="48"/>
      <c r="B41" s="24" t="s">
        <v>243</v>
      </c>
      <c r="C41" s="24" t="s">
        <v>56</v>
      </c>
      <c r="D41" s="22"/>
      <c r="E41" s="22"/>
      <c r="F41" s="59"/>
      <c r="G41" s="59"/>
      <c r="H41" s="22"/>
      <c r="I41" s="22"/>
    </row>
    <row r="42" spans="1:9" x14ac:dyDescent="0.45">
      <c r="A42" s="48"/>
      <c r="B42" s="24"/>
      <c r="C42" s="24" t="s">
        <v>45</v>
      </c>
      <c r="D42" s="22"/>
      <c r="E42" s="22"/>
      <c r="F42" s="59"/>
      <c r="G42" s="59"/>
      <c r="H42" s="22"/>
      <c r="I42" s="22"/>
    </row>
    <row r="43" spans="1:9" x14ac:dyDescent="0.45">
      <c r="A43" s="48"/>
      <c r="B43" s="24"/>
      <c r="C43" s="24"/>
      <c r="D43" s="22"/>
      <c r="E43" s="22"/>
      <c r="F43" s="59"/>
      <c r="G43" s="59"/>
      <c r="H43" s="22"/>
      <c r="I43" s="22"/>
    </row>
    <row r="44" spans="1:9" x14ac:dyDescent="0.45">
      <c r="A44" s="48"/>
      <c r="B44" s="24"/>
      <c r="C44" s="24" t="s">
        <v>53</v>
      </c>
      <c r="D44" s="22"/>
      <c r="E44" s="22"/>
      <c r="F44" s="59"/>
      <c r="G44" s="59"/>
      <c r="H44" s="22"/>
      <c r="I44" s="22"/>
    </row>
    <row r="45" spans="1:9" x14ac:dyDescent="0.45">
      <c r="A45" s="48"/>
      <c r="B45" s="24" t="s">
        <v>244</v>
      </c>
      <c r="C45" s="24"/>
      <c r="E45" s="22"/>
      <c r="F45" s="59"/>
      <c r="G45" s="59"/>
      <c r="H45" s="22"/>
      <c r="I45" s="22"/>
    </row>
    <row r="46" spans="1:9" x14ac:dyDescent="0.45">
      <c r="A46" s="48"/>
      <c r="B46" s="24" t="s">
        <v>245</v>
      </c>
      <c r="C46" s="24" t="s">
        <v>248</v>
      </c>
      <c r="E46" s="22"/>
      <c r="F46" s="59"/>
      <c r="G46" s="59"/>
      <c r="H46" s="22"/>
      <c r="I46" s="22"/>
    </row>
    <row r="47" spans="1:9" ht="108" x14ac:dyDescent="0.45">
      <c r="A47" s="48"/>
      <c r="B47" s="24" t="s">
        <v>261</v>
      </c>
      <c r="C47" s="24"/>
      <c r="E47" s="22"/>
      <c r="F47" s="59"/>
      <c r="G47" s="59"/>
      <c r="H47" s="22"/>
      <c r="I47" s="24" t="s">
        <v>262</v>
      </c>
    </row>
    <row r="48" spans="1:9" x14ac:dyDescent="0.45">
      <c r="A48" s="48"/>
      <c r="B48" s="24" t="s">
        <v>160</v>
      </c>
      <c r="C48" s="24"/>
      <c r="E48" s="22"/>
      <c r="F48" s="59"/>
      <c r="G48" s="59"/>
      <c r="H48" s="22"/>
      <c r="I48" s="22"/>
    </row>
    <row r="49" spans="1:9" x14ac:dyDescent="0.45">
      <c r="A49" s="48"/>
      <c r="B49" s="24" t="s">
        <v>161</v>
      </c>
      <c r="C49" s="24"/>
      <c r="E49" s="22"/>
      <c r="F49" s="59"/>
      <c r="G49" s="59"/>
      <c r="H49" s="22"/>
      <c r="I49" s="22"/>
    </row>
    <row r="50" spans="1:9" x14ac:dyDescent="0.45">
      <c r="A50" s="48"/>
      <c r="B50" s="24" t="s">
        <v>246</v>
      </c>
      <c r="C50" s="24" t="s">
        <v>56</v>
      </c>
      <c r="E50" s="22"/>
      <c r="F50" s="59"/>
      <c r="G50" s="59"/>
      <c r="H50" s="22"/>
      <c r="I50" s="22"/>
    </row>
    <row r="51" spans="1:9" x14ac:dyDescent="0.45">
      <c r="A51" s="48"/>
      <c r="B51" s="24"/>
      <c r="C51" s="24" t="s">
        <v>45</v>
      </c>
      <c r="E51" s="22"/>
      <c r="F51" s="59"/>
      <c r="G51" s="59"/>
      <c r="H51" s="22"/>
      <c r="I51" s="22"/>
    </row>
    <row r="52" spans="1:9" x14ac:dyDescent="0.45">
      <c r="A52" s="48"/>
      <c r="B52" s="24"/>
      <c r="C52" s="24"/>
      <c r="E52" s="22"/>
      <c r="F52" s="59"/>
      <c r="G52" s="59"/>
      <c r="H52" s="22"/>
      <c r="I52" s="22"/>
    </row>
    <row r="53" spans="1:9" x14ac:dyDescent="0.45">
      <c r="A53" s="48"/>
      <c r="B53" s="24"/>
      <c r="C53" s="24" t="s">
        <v>53</v>
      </c>
      <c r="E53" s="22"/>
      <c r="F53" s="59"/>
      <c r="G53" s="59"/>
      <c r="H53" s="22"/>
      <c r="I53" s="22"/>
    </row>
    <row r="54" spans="1:9" x14ac:dyDescent="0.45">
      <c r="A54" s="48"/>
      <c r="B54" s="24" t="s">
        <v>247</v>
      </c>
      <c r="C54" s="24"/>
      <c r="E54" s="22"/>
      <c r="F54" s="59"/>
      <c r="G54" s="59"/>
      <c r="H54" s="22"/>
      <c r="I54" s="22"/>
    </row>
    <row r="55" spans="1:9" x14ac:dyDescent="0.45">
      <c r="A55" s="48"/>
      <c r="B55" s="24"/>
      <c r="C55" s="24"/>
      <c r="E55" s="22"/>
      <c r="F55" s="59"/>
      <c r="G55" s="59"/>
      <c r="H55" s="22"/>
      <c r="I55" s="22"/>
    </row>
    <row r="56" spans="1:9" x14ac:dyDescent="0.45">
      <c r="A56" s="48"/>
      <c r="B56" s="24" t="s">
        <v>249</v>
      </c>
      <c r="C56" s="24" t="s">
        <v>56</v>
      </c>
      <c r="E56" s="22"/>
      <c r="F56" s="59"/>
      <c r="G56" s="59"/>
      <c r="H56" s="22"/>
      <c r="I56" s="22"/>
    </row>
    <row r="57" spans="1:9" x14ac:dyDescent="0.45">
      <c r="A57" s="48"/>
      <c r="B57" s="24"/>
      <c r="C57" s="24" t="s">
        <v>45</v>
      </c>
      <c r="E57" s="22"/>
      <c r="F57" s="59"/>
      <c r="G57" s="59"/>
      <c r="H57" s="22"/>
      <c r="I57" s="22"/>
    </row>
    <row r="58" spans="1:9" x14ac:dyDescent="0.45">
      <c r="A58" s="48"/>
      <c r="B58" s="24"/>
      <c r="C58" s="24"/>
      <c r="E58" s="22"/>
      <c r="F58" s="59"/>
      <c r="G58" s="59"/>
      <c r="H58" s="22"/>
      <c r="I58" s="22"/>
    </row>
    <row r="59" spans="1:9" x14ac:dyDescent="0.45">
      <c r="A59" s="48"/>
      <c r="B59" s="24"/>
      <c r="C59" s="24" t="s">
        <v>53</v>
      </c>
      <c r="E59" s="22"/>
      <c r="F59" s="59"/>
      <c r="G59" s="59"/>
      <c r="H59" s="22"/>
      <c r="I59" s="22"/>
    </row>
    <row r="60" spans="1:9" x14ac:dyDescent="0.45">
      <c r="A60" s="48"/>
      <c r="B60" s="24" t="s">
        <v>250</v>
      </c>
      <c r="C60" s="24"/>
      <c r="E60" s="22"/>
      <c r="F60" s="59"/>
      <c r="G60" s="59"/>
      <c r="H60" s="22"/>
      <c r="I60" s="22"/>
    </row>
    <row r="61" spans="1:9" x14ac:dyDescent="0.45">
      <c r="A61" s="48"/>
      <c r="B61" s="24"/>
      <c r="C61" s="24"/>
      <c r="E61" s="22"/>
      <c r="F61" s="59"/>
      <c r="G61" s="59"/>
      <c r="H61" s="22"/>
      <c r="I61" s="22"/>
    </row>
    <row r="62" spans="1:9" x14ac:dyDescent="0.45">
      <c r="A62" s="48"/>
      <c r="B62" s="24"/>
      <c r="C62" s="24"/>
      <c r="E62" s="22"/>
      <c r="F62" s="59"/>
      <c r="G62" s="59"/>
      <c r="H62" s="22"/>
      <c r="I62" s="22"/>
    </row>
    <row r="63" spans="1:9" x14ac:dyDescent="0.45">
      <c r="A63" s="48"/>
      <c r="B63" s="24" t="s">
        <v>157</v>
      </c>
      <c r="C63" s="24"/>
      <c r="E63" s="22"/>
      <c r="F63" s="59"/>
      <c r="G63" s="59"/>
      <c r="H63" s="22"/>
      <c r="I63" s="22"/>
    </row>
    <row r="64" spans="1:9" x14ac:dyDescent="0.45">
      <c r="A64" s="48"/>
      <c r="B64" s="24" t="s">
        <v>158</v>
      </c>
      <c r="C64" s="24"/>
      <c r="E64" s="22"/>
      <c r="F64" s="59"/>
      <c r="G64" s="59"/>
      <c r="H64" s="22"/>
      <c r="I64" s="22"/>
    </row>
    <row r="65" spans="1:9" x14ac:dyDescent="0.45">
      <c r="A65" s="48"/>
      <c r="B65" s="24" t="s">
        <v>159</v>
      </c>
      <c r="C65" s="24" t="s">
        <v>74</v>
      </c>
      <c r="D65" s="22"/>
      <c r="E65" s="22"/>
      <c r="F65" s="59"/>
      <c r="G65" s="59"/>
      <c r="H65" s="22"/>
      <c r="I65" s="22"/>
    </row>
    <row r="66" spans="1:9" x14ac:dyDescent="0.45">
      <c r="A66" s="48"/>
      <c r="B66" s="24"/>
      <c r="C66" s="24" t="s">
        <v>35</v>
      </c>
      <c r="D66" s="22"/>
      <c r="E66" s="22"/>
      <c r="F66" s="59"/>
      <c r="G66" s="59"/>
      <c r="H66" s="22"/>
      <c r="I66" s="22"/>
    </row>
    <row r="67" spans="1:9" x14ac:dyDescent="0.45">
      <c r="A67" s="49"/>
      <c r="B67" s="24"/>
      <c r="C67" s="24"/>
      <c r="D67" s="22"/>
      <c r="E67" s="22"/>
      <c r="F67" s="59"/>
      <c r="G67" s="59"/>
      <c r="H67" s="22"/>
      <c r="I67" s="22"/>
    </row>
    <row r="68" spans="1:9" x14ac:dyDescent="0.45">
      <c r="A68" s="53" t="s">
        <v>57</v>
      </c>
      <c r="B68" s="24" t="s">
        <v>54</v>
      </c>
      <c r="C68" s="24"/>
      <c r="D68" s="22"/>
      <c r="E68" s="22"/>
      <c r="F68" s="59"/>
      <c r="G68" s="59"/>
      <c r="H68" s="22"/>
      <c r="I68" s="22"/>
    </row>
    <row r="69" spans="1:9" x14ac:dyDescent="0.45">
      <c r="A69" s="54"/>
      <c r="B69" s="24" t="s">
        <v>43</v>
      </c>
      <c r="C69" s="24" t="s">
        <v>52</v>
      </c>
      <c r="D69" s="22"/>
      <c r="E69" s="22"/>
      <c r="F69" s="59"/>
      <c r="G69" s="59"/>
      <c r="H69" s="22"/>
      <c r="I69" s="22"/>
    </row>
    <row r="70" spans="1:9" x14ac:dyDescent="0.45">
      <c r="A70" s="54"/>
      <c r="B70" t="s">
        <v>93</v>
      </c>
      <c r="C70" s="24"/>
      <c r="D70" s="22"/>
      <c r="E70" s="22"/>
      <c r="F70" s="59"/>
      <c r="G70" s="59"/>
      <c r="H70" s="22"/>
      <c r="I70" s="22"/>
    </row>
    <row r="71" spans="1:9" x14ac:dyDescent="0.45">
      <c r="A71" s="54"/>
      <c r="B71" t="s">
        <v>94</v>
      </c>
      <c r="C71" s="24"/>
      <c r="D71" s="22"/>
      <c r="E71" s="22"/>
      <c r="F71" s="59"/>
      <c r="G71" s="59"/>
      <c r="H71" s="22"/>
      <c r="I71" s="22"/>
    </row>
    <row r="72" spans="1:9" x14ac:dyDescent="0.45">
      <c r="A72" s="54"/>
      <c r="B72" s="24" t="s">
        <v>55</v>
      </c>
      <c r="C72" s="24" t="s">
        <v>56</v>
      </c>
      <c r="D72" s="22"/>
      <c r="E72" s="22"/>
      <c r="F72" s="59"/>
      <c r="G72" s="59"/>
      <c r="H72" s="22"/>
      <c r="I72" s="22"/>
    </row>
    <row r="73" spans="1:9" x14ac:dyDescent="0.45">
      <c r="A73" s="54"/>
      <c r="B73" s="24"/>
      <c r="C73" s="24" t="s">
        <v>45</v>
      </c>
      <c r="D73" s="22"/>
      <c r="E73" s="22"/>
      <c r="F73" s="59"/>
      <c r="G73" s="59"/>
      <c r="H73" s="22"/>
      <c r="I73" s="22"/>
    </row>
    <row r="74" spans="1:9" x14ac:dyDescent="0.45">
      <c r="A74" s="54"/>
      <c r="B74" s="24"/>
      <c r="C74" s="24" t="s">
        <v>53</v>
      </c>
      <c r="D74" s="22"/>
      <c r="E74" s="22"/>
      <c r="F74" s="59"/>
      <c r="G74" s="59"/>
      <c r="H74" s="22"/>
      <c r="I74" s="22"/>
    </row>
    <row r="75" spans="1:9" x14ac:dyDescent="0.45">
      <c r="A75" s="54"/>
      <c r="B75" s="24" t="s">
        <v>59</v>
      </c>
      <c r="C75" s="24" t="s">
        <v>56</v>
      </c>
      <c r="D75" s="22"/>
      <c r="E75" s="22"/>
      <c r="F75" s="59"/>
      <c r="G75" s="59"/>
      <c r="H75" s="22"/>
      <c r="I75" s="22"/>
    </row>
    <row r="76" spans="1:9" x14ac:dyDescent="0.45">
      <c r="A76" s="54"/>
      <c r="B76" s="24"/>
      <c r="C76" s="24" t="s">
        <v>45</v>
      </c>
      <c r="D76" s="22"/>
      <c r="E76" s="22"/>
      <c r="F76" s="59"/>
      <c r="G76" s="59"/>
      <c r="H76" s="22"/>
      <c r="I76" s="22"/>
    </row>
    <row r="77" spans="1:9" x14ac:dyDescent="0.45">
      <c r="A77" s="54"/>
      <c r="B77" s="24"/>
      <c r="C77" s="24" t="s">
        <v>53</v>
      </c>
      <c r="D77" s="22"/>
      <c r="E77" s="22"/>
      <c r="F77" s="59"/>
      <c r="G77" s="59"/>
      <c r="H77" s="22"/>
      <c r="I77" s="22"/>
    </row>
    <row r="78" spans="1:9" x14ac:dyDescent="0.45">
      <c r="A78" s="54"/>
      <c r="B78" s="24" t="s">
        <v>60</v>
      </c>
      <c r="C78" s="24" t="s">
        <v>56</v>
      </c>
      <c r="D78" s="22"/>
      <c r="E78" s="22"/>
      <c r="F78" s="59"/>
      <c r="G78" s="59"/>
      <c r="H78" s="22"/>
      <c r="I78" s="22"/>
    </row>
    <row r="79" spans="1:9" x14ac:dyDescent="0.45">
      <c r="A79" s="54"/>
      <c r="B79" s="24"/>
      <c r="C79" s="24" t="s">
        <v>45</v>
      </c>
      <c r="D79" s="22"/>
      <c r="E79" s="22"/>
      <c r="F79" s="59"/>
      <c r="G79" s="59"/>
      <c r="H79" s="22"/>
      <c r="I79" s="22"/>
    </row>
    <row r="80" spans="1:9" x14ac:dyDescent="0.45">
      <c r="A80" s="54"/>
      <c r="B80" s="24"/>
      <c r="C80" s="24" t="s">
        <v>53</v>
      </c>
      <c r="D80" s="22"/>
      <c r="E80" s="22"/>
      <c r="F80" s="59"/>
      <c r="G80" s="59"/>
      <c r="H80" s="22"/>
      <c r="I80" s="22"/>
    </row>
    <row r="81" spans="1:9" x14ac:dyDescent="0.45">
      <c r="A81" s="54"/>
      <c r="B81" s="24" t="s">
        <v>61</v>
      </c>
      <c r="C81" s="24" t="s">
        <v>56</v>
      </c>
      <c r="D81" s="22"/>
      <c r="E81" s="22"/>
      <c r="F81" s="59"/>
      <c r="G81" s="59"/>
      <c r="H81" s="22"/>
      <c r="I81" s="22"/>
    </row>
    <row r="82" spans="1:9" x14ac:dyDescent="0.45">
      <c r="A82" s="54"/>
      <c r="B82" s="24"/>
      <c r="C82" s="24" t="s">
        <v>45</v>
      </c>
      <c r="D82" s="22"/>
      <c r="E82" s="22"/>
      <c r="F82" s="59"/>
      <c r="G82" s="59"/>
      <c r="H82" s="22"/>
      <c r="I82" s="22"/>
    </row>
    <row r="83" spans="1:9" x14ac:dyDescent="0.45">
      <c r="A83" s="54"/>
      <c r="B83" s="24"/>
      <c r="C83" s="24" t="s">
        <v>53</v>
      </c>
      <c r="D83" s="22"/>
      <c r="E83" s="22"/>
      <c r="F83" s="59"/>
      <c r="G83" s="59"/>
      <c r="H83" s="22"/>
      <c r="I83" s="22"/>
    </row>
    <row r="84" spans="1:9" x14ac:dyDescent="0.45">
      <c r="A84" s="54"/>
      <c r="B84" t="s">
        <v>95</v>
      </c>
      <c r="C84" s="24"/>
      <c r="D84" s="22"/>
      <c r="E84" s="22"/>
      <c r="F84" s="59"/>
      <c r="G84" s="59"/>
      <c r="H84" s="22"/>
      <c r="I84" s="22"/>
    </row>
    <row r="85" spans="1:9" x14ac:dyDescent="0.45">
      <c r="A85" s="54"/>
      <c r="B85" s="24" t="s">
        <v>62</v>
      </c>
      <c r="C85" s="24" t="s">
        <v>56</v>
      </c>
      <c r="D85" s="22"/>
      <c r="E85" s="22"/>
      <c r="F85" s="59"/>
      <c r="G85" s="59"/>
      <c r="H85" s="22"/>
      <c r="I85" s="22"/>
    </row>
    <row r="86" spans="1:9" x14ac:dyDescent="0.45">
      <c r="A86" s="54"/>
      <c r="B86" s="24"/>
      <c r="C86" s="24" t="s">
        <v>45</v>
      </c>
      <c r="D86" s="22"/>
      <c r="E86" s="22"/>
      <c r="F86" s="59"/>
      <c r="G86" s="59"/>
      <c r="H86" s="22"/>
      <c r="I86" s="22"/>
    </row>
    <row r="87" spans="1:9" x14ac:dyDescent="0.45">
      <c r="A87" s="54"/>
      <c r="B87" s="24"/>
      <c r="C87" s="24" t="s">
        <v>53</v>
      </c>
      <c r="D87" s="22"/>
      <c r="E87" s="22"/>
      <c r="F87" s="59"/>
      <c r="G87" s="59"/>
      <c r="H87" s="22"/>
      <c r="I87" s="22"/>
    </row>
    <row r="88" spans="1:9" x14ac:dyDescent="0.45">
      <c r="A88" s="54"/>
      <c r="B88" s="24" t="s">
        <v>73</v>
      </c>
      <c r="C88" s="24" t="s">
        <v>74</v>
      </c>
      <c r="D88" s="22"/>
      <c r="E88" s="22"/>
      <c r="F88" s="59"/>
      <c r="G88" s="59"/>
      <c r="H88" s="22"/>
      <c r="I88" s="22"/>
    </row>
    <row r="89" spans="1:9" x14ac:dyDescent="0.45">
      <c r="A89" s="54"/>
      <c r="B89" s="24"/>
      <c r="C89" s="24" t="s">
        <v>35</v>
      </c>
      <c r="D89" s="22"/>
      <c r="E89" s="22"/>
      <c r="F89" s="59"/>
      <c r="G89" s="59"/>
      <c r="H89" s="22"/>
      <c r="I89" s="22"/>
    </row>
    <row r="90" spans="1:9" x14ac:dyDescent="0.45">
      <c r="A90" s="55"/>
      <c r="B90" s="24"/>
      <c r="C90" s="24"/>
      <c r="D90" s="22"/>
      <c r="E90" s="22"/>
      <c r="F90" s="59"/>
      <c r="G90" s="59"/>
      <c r="H90" s="22"/>
      <c r="I90" s="22"/>
    </row>
    <row r="91" spans="1:9" x14ac:dyDescent="0.45">
      <c r="A91" s="50" t="s">
        <v>58</v>
      </c>
      <c r="B91" s="24" t="s">
        <v>42</v>
      </c>
      <c r="C91" s="24"/>
      <c r="D91" s="22"/>
      <c r="E91" s="22"/>
      <c r="F91" s="59"/>
      <c r="G91" s="59"/>
      <c r="H91" s="22"/>
      <c r="I91" s="22"/>
    </row>
    <row r="92" spans="1:9" x14ac:dyDescent="0.45">
      <c r="A92" s="51"/>
      <c r="B92" s="24" t="s">
        <v>43</v>
      </c>
      <c r="C92" s="24" t="s">
        <v>52</v>
      </c>
      <c r="D92" s="22"/>
      <c r="E92" s="22"/>
      <c r="F92" s="59"/>
      <c r="G92" s="59"/>
      <c r="H92" s="22"/>
      <c r="I92" s="22"/>
    </row>
    <row r="93" spans="1:9" x14ac:dyDescent="0.45">
      <c r="A93" s="51"/>
      <c r="B93" s="24" t="s">
        <v>63</v>
      </c>
      <c r="C93" s="24" t="s">
        <v>52</v>
      </c>
      <c r="D93" s="22"/>
      <c r="E93" s="22"/>
      <c r="F93" s="59"/>
      <c r="G93" s="59"/>
      <c r="H93" s="22"/>
      <c r="I93" s="22"/>
    </row>
    <row r="94" spans="1:9" x14ac:dyDescent="0.45">
      <c r="A94" s="51"/>
      <c r="B94" s="24" t="s">
        <v>64</v>
      </c>
      <c r="C94" s="24" t="s">
        <v>52</v>
      </c>
      <c r="D94" s="22"/>
      <c r="E94" s="22"/>
      <c r="F94" s="59"/>
      <c r="G94" s="59"/>
      <c r="H94" s="22"/>
      <c r="I94" s="22"/>
    </row>
    <row r="95" spans="1:9" x14ac:dyDescent="0.45">
      <c r="A95" s="51"/>
      <c r="B95" s="24" t="s">
        <v>46</v>
      </c>
      <c r="C95" s="24" t="s">
        <v>45</v>
      </c>
      <c r="D95" s="22"/>
      <c r="E95" s="22"/>
      <c r="F95" s="59"/>
      <c r="G95" s="59"/>
      <c r="H95" s="22"/>
      <c r="I95" s="22"/>
    </row>
    <row r="96" spans="1:9" x14ac:dyDescent="0.45">
      <c r="A96" s="51"/>
      <c r="B96" s="24"/>
      <c r="C96" s="24" t="s">
        <v>50</v>
      </c>
      <c r="D96" s="22"/>
      <c r="E96" s="22"/>
      <c r="F96" s="59"/>
      <c r="G96" s="59"/>
      <c r="H96" s="22"/>
      <c r="I96" s="22"/>
    </row>
    <row r="97" spans="1:9" x14ac:dyDescent="0.45">
      <c r="A97" s="51"/>
      <c r="B97" s="24"/>
      <c r="C97" s="24" t="s">
        <v>53</v>
      </c>
      <c r="D97" s="22"/>
      <c r="E97" s="22"/>
      <c r="F97" s="59"/>
      <c r="G97" s="59"/>
      <c r="H97" s="22"/>
      <c r="I97" s="22"/>
    </row>
    <row r="98" spans="1:9" x14ac:dyDescent="0.45">
      <c r="A98" s="51"/>
      <c r="B98" s="24" t="s">
        <v>98</v>
      </c>
      <c r="C98" s="24" t="s">
        <v>45</v>
      </c>
      <c r="D98" s="22"/>
      <c r="E98" s="22"/>
      <c r="F98" s="59"/>
      <c r="G98" s="59"/>
      <c r="H98" s="22"/>
      <c r="I98" s="22"/>
    </row>
    <row r="99" spans="1:9" x14ac:dyDescent="0.45">
      <c r="A99" s="51"/>
      <c r="B99" s="24"/>
      <c r="C99" s="24" t="s">
        <v>50</v>
      </c>
      <c r="D99" s="22"/>
      <c r="E99" s="22"/>
      <c r="F99" s="59"/>
      <c r="G99" s="59"/>
      <c r="H99" s="22"/>
      <c r="I99" s="22"/>
    </row>
    <row r="100" spans="1:9" x14ac:dyDescent="0.45">
      <c r="A100" s="51"/>
      <c r="B100" s="24"/>
      <c r="C100" s="24" t="s">
        <v>53</v>
      </c>
      <c r="D100" s="22"/>
      <c r="E100" s="22"/>
      <c r="F100" s="59"/>
      <c r="G100" s="59"/>
      <c r="H100" s="22"/>
      <c r="I100" s="22"/>
    </row>
    <row r="101" spans="1:9" x14ac:dyDescent="0.45">
      <c r="A101" s="51"/>
      <c r="B101" s="24" t="s">
        <v>96</v>
      </c>
      <c r="C101" s="24" t="s">
        <v>45</v>
      </c>
      <c r="D101" s="22"/>
      <c r="E101" s="22"/>
      <c r="F101" s="59"/>
      <c r="G101" s="59"/>
      <c r="H101" s="22"/>
      <c r="I101" s="22"/>
    </row>
    <row r="102" spans="1:9" x14ac:dyDescent="0.45">
      <c r="A102" s="51"/>
      <c r="B102" s="24"/>
      <c r="C102" s="24" t="s">
        <v>50</v>
      </c>
      <c r="D102" s="22"/>
      <c r="E102" s="22"/>
      <c r="F102" s="59"/>
      <c r="G102" s="59"/>
      <c r="H102" s="22"/>
      <c r="I102" s="22"/>
    </row>
    <row r="103" spans="1:9" x14ac:dyDescent="0.45">
      <c r="A103" s="51"/>
      <c r="B103" s="24"/>
      <c r="C103" s="24" t="s">
        <v>53</v>
      </c>
      <c r="D103" s="22"/>
      <c r="E103" s="22"/>
      <c r="F103" s="59"/>
      <c r="G103" s="59"/>
      <c r="H103" s="22"/>
      <c r="I103" s="22"/>
    </row>
    <row r="104" spans="1:9" x14ac:dyDescent="0.45">
      <c r="A104" s="51"/>
      <c r="B104" s="24" t="s">
        <v>44</v>
      </c>
      <c r="C104" s="24" t="s">
        <v>45</v>
      </c>
      <c r="D104" s="22"/>
      <c r="E104" s="22"/>
      <c r="F104" s="59"/>
      <c r="G104" s="59"/>
      <c r="H104" s="22"/>
      <c r="I104" s="22"/>
    </row>
    <row r="105" spans="1:9" x14ac:dyDescent="0.45">
      <c r="A105" s="51"/>
      <c r="B105" s="24"/>
      <c r="C105" s="24" t="s">
        <v>50</v>
      </c>
      <c r="D105" s="22"/>
      <c r="E105" s="22"/>
      <c r="F105" s="59"/>
      <c r="G105" s="59"/>
      <c r="H105" s="22"/>
      <c r="I105" s="22"/>
    </row>
    <row r="106" spans="1:9" x14ac:dyDescent="0.45">
      <c r="A106" s="51"/>
      <c r="B106" s="24"/>
      <c r="C106" s="24" t="s">
        <v>53</v>
      </c>
      <c r="D106" s="22"/>
      <c r="E106" s="22"/>
      <c r="F106" s="59"/>
      <c r="G106" s="59"/>
      <c r="H106" s="22"/>
      <c r="I106" s="22"/>
    </row>
    <row r="107" spans="1:9" x14ac:dyDescent="0.45">
      <c r="A107" s="51"/>
      <c r="B107" s="24" t="s">
        <v>51</v>
      </c>
      <c r="C107" s="24" t="s">
        <v>45</v>
      </c>
      <c r="D107" s="22"/>
      <c r="E107" s="22"/>
      <c r="F107" s="59"/>
      <c r="G107" s="59"/>
      <c r="H107" s="22"/>
      <c r="I107" s="22"/>
    </row>
    <row r="108" spans="1:9" x14ac:dyDescent="0.45">
      <c r="A108" s="51"/>
      <c r="B108" s="24"/>
      <c r="C108" s="24" t="s">
        <v>50</v>
      </c>
      <c r="D108" s="22"/>
      <c r="E108" s="22"/>
      <c r="F108" s="59"/>
      <c r="G108" s="59"/>
      <c r="H108" s="22"/>
      <c r="I108" s="22"/>
    </row>
    <row r="109" spans="1:9" x14ac:dyDescent="0.45">
      <c r="A109" s="51"/>
      <c r="B109" t="s">
        <v>97</v>
      </c>
      <c r="D109" s="22"/>
      <c r="E109" s="22"/>
      <c r="F109" s="59"/>
      <c r="G109" s="59"/>
      <c r="H109" s="22"/>
      <c r="I109" s="22"/>
    </row>
    <row r="110" spans="1:9" x14ac:dyDescent="0.45">
      <c r="A110" s="51"/>
      <c r="B110" t="s">
        <v>99</v>
      </c>
      <c r="D110" s="22"/>
      <c r="E110" s="22"/>
      <c r="F110" s="59"/>
      <c r="G110" s="59"/>
      <c r="H110" s="22"/>
      <c r="I110" s="22"/>
    </row>
    <row r="111" spans="1:9" x14ac:dyDescent="0.45">
      <c r="A111" s="52"/>
      <c r="B111" s="24"/>
      <c r="C111" s="24"/>
      <c r="D111" s="22"/>
      <c r="E111" s="22"/>
      <c r="F111" s="59"/>
      <c r="G111" s="59"/>
      <c r="H111" s="22"/>
      <c r="I111" s="22"/>
    </row>
    <row r="112" spans="1:9" x14ac:dyDescent="0.45">
      <c r="A112" s="32" t="s">
        <v>71</v>
      </c>
      <c r="B112" s="24" t="s">
        <v>65</v>
      </c>
      <c r="C112" s="24"/>
      <c r="D112" s="22"/>
      <c r="E112" s="22"/>
      <c r="F112" s="59"/>
      <c r="G112" s="59"/>
      <c r="H112" s="22"/>
      <c r="I112" s="22"/>
    </row>
    <row r="113" spans="1:9" x14ac:dyDescent="0.45">
      <c r="A113" s="32"/>
      <c r="B113" s="24" t="s">
        <v>68</v>
      </c>
      <c r="C113" s="24"/>
      <c r="D113" s="22"/>
      <c r="E113" s="22"/>
      <c r="F113" s="59"/>
      <c r="G113" s="59"/>
      <c r="H113" s="22"/>
      <c r="I113" s="22"/>
    </row>
    <row r="114" spans="1:9" x14ac:dyDescent="0.45">
      <c r="A114" s="32"/>
      <c r="B114" s="24" t="s">
        <v>67</v>
      </c>
      <c r="C114" s="24"/>
      <c r="D114" s="22"/>
      <c r="E114" s="22"/>
      <c r="F114" s="59"/>
      <c r="G114" s="59"/>
      <c r="H114" s="22"/>
      <c r="I114" s="22"/>
    </row>
    <row r="115" spans="1:9" x14ac:dyDescent="0.45">
      <c r="A115" s="32"/>
      <c r="B115" s="24" t="s">
        <v>72</v>
      </c>
      <c r="C115" s="24" t="s">
        <v>45</v>
      </c>
      <c r="D115" s="22"/>
      <c r="E115" s="22"/>
      <c r="F115" s="59"/>
      <c r="G115" s="59"/>
      <c r="H115" s="22"/>
      <c r="I115" s="22"/>
    </row>
    <row r="116" spans="1:9" x14ac:dyDescent="0.45">
      <c r="A116" s="32"/>
      <c r="B116" s="24"/>
      <c r="C116" s="24" t="s">
        <v>53</v>
      </c>
      <c r="D116" s="22"/>
      <c r="E116" s="22"/>
      <c r="F116" s="59"/>
      <c r="G116" s="59"/>
      <c r="H116" s="22"/>
      <c r="I116" s="22"/>
    </row>
    <row r="117" spans="1:9" x14ac:dyDescent="0.45">
      <c r="A117" s="32"/>
      <c r="B117" s="24" t="s">
        <v>69</v>
      </c>
      <c r="C117" s="24"/>
      <c r="D117" s="22"/>
      <c r="E117" s="22"/>
      <c r="F117" s="59"/>
      <c r="G117" s="59"/>
      <c r="H117" s="22"/>
      <c r="I117" s="22"/>
    </row>
    <row r="118" spans="1:9" x14ac:dyDescent="0.45">
      <c r="A118" s="32"/>
      <c r="B118" s="24" t="s">
        <v>73</v>
      </c>
      <c r="C118" s="24"/>
      <c r="D118" s="22"/>
      <c r="E118" s="22"/>
      <c r="F118" s="59"/>
      <c r="G118" s="59"/>
      <c r="H118" s="22"/>
      <c r="I118" s="22"/>
    </row>
    <row r="119" spans="1:9" x14ac:dyDescent="0.45">
      <c r="A119" s="32"/>
      <c r="B119" s="24"/>
      <c r="C119" s="24"/>
      <c r="D119" s="22"/>
      <c r="E119" s="22"/>
      <c r="F119" s="59"/>
      <c r="G119" s="59"/>
      <c r="H119" s="22"/>
      <c r="I119" s="22"/>
    </row>
    <row r="120" spans="1:9" x14ac:dyDescent="0.45">
      <c r="A120" s="35" t="s">
        <v>76</v>
      </c>
      <c r="B120" s="24" t="s">
        <v>66</v>
      </c>
      <c r="C120" s="24"/>
      <c r="D120" s="22"/>
      <c r="E120" s="22"/>
      <c r="F120" s="59"/>
      <c r="G120" s="59"/>
      <c r="H120" s="22"/>
      <c r="I120" s="22"/>
    </row>
    <row r="121" spans="1:9" x14ac:dyDescent="0.45">
      <c r="A121" s="36"/>
      <c r="B121" s="24" t="s">
        <v>100</v>
      </c>
      <c r="C121" s="24"/>
      <c r="D121" s="22"/>
      <c r="E121" s="22"/>
      <c r="F121" s="59"/>
      <c r="G121" s="59"/>
      <c r="H121" s="22"/>
      <c r="I121" s="22"/>
    </row>
    <row r="122" spans="1:9" x14ac:dyDescent="0.45">
      <c r="A122" s="36"/>
      <c r="B122" s="24" t="s">
        <v>101</v>
      </c>
      <c r="C122" s="24"/>
      <c r="D122" s="22"/>
      <c r="E122" s="22"/>
      <c r="F122" s="59"/>
      <c r="G122" s="59"/>
      <c r="H122" s="22"/>
      <c r="I122" s="22"/>
    </row>
    <row r="123" spans="1:9" ht="36" x14ac:dyDescent="0.45">
      <c r="A123" s="36"/>
      <c r="B123" s="24" t="s">
        <v>102</v>
      </c>
      <c r="C123" s="24"/>
      <c r="D123" s="22"/>
      <c r="E123" s="22"/>
      <c r="F123" s="59"/>
      <c r="G123" s="59"/>
      <c r="H123" s="22"/>
      <c r="I123" s="22"/>
    </row>
    <row r="124" spans="1:9" x14ac:dyDescent="0.45">
      <c r="A124" s="36"/>
      <c r="B124" s="24" t="s">
        <v>103</v>
      </c>
      <c r="C124" s="24"/>
      <c r="D124" s="22"/>
      <c r="E124" s="22"/>
      <c r="F124" s="59"/>
      <c r="G124" s="59"/>
      <c r="H124" s="22"/>
      <c r="I124" s="22"/>
    </row>
    <row r="125" spans="1:9" x14ac:dyDescent="0.45">
      <c r="A125" s="36"/>
      <c r="B125" s="24" t="s">
        <v>104</v>
      </c>
      <c r="C125" s="24"/>
      <c r="D125" s="22"/>
      <c r="E125" s="22"/>
      <c r="F125" s="59"/>
      <c r="G125" s="59"/>
      <c r="H125" s="22"/>
      <c r="I125" s="22"/>
    </row>
    <row r="126" spans="1:9" x14ac:dyDescent="0.45">
      <c r="A126" s="36"/>
      <c r="B126" s="24" t="s">
        <v>70</v>
      </c>
      <c r="C126" s="24"/>
      <c r="D126" s="22"/>
      <c r="E126" s="22"/>
      <c r="F126" s="59"/>
      <c r="G126" s="59"/>
      <c r="H126" s="22"/>
      <c r="I126" s="22"/>
    </row>
    <row r="127" spans="1:9" x14ac:dyDescent="0.45">
      <c r="A127" s="36"/>
      <c r="B127" s="24" t="s">
        <v>34</v>
      </c>
      <c r="C127" s="24"/>
      <c r="D127" s="22"/>
      <c r="E127" s="22"/>
      <c r="F127" s="59"/>
      <c r="G127" s="59"/>
      <c r="H127" s="22"/>
      <c r="I127" s="22"/>
    </row>
    <row r="128" spans="1:9" x14ac:dyDescent="0.45">
      <c r="A128" s="37"/>
      <c r="B128" s="24"/>
      <c r="C128" s="24"/>
      <c r="D128" s="22"/>
      <c r="E128" s="22"/>
      <c r="F128" s="59"/>
      <c r="G128" s="59"/>
      <c r="H128" s="22"/>
      <c r="I128" s="22"/>
    </row>
  </sheetData>
  <mergeCells count="9">
    <mergeCell ref="A112:A119"/>
    <mergeCell ref="D1:E1"/>
    <mergeCell ref="A120:A128"/>
    <mergeCell ref="A3:A6"/>
    <mergeCell ref="A7:A15"/>
    <mergeCell ref="A16:A30"/>
    <mergeCell ref="A31:A67"/>
    <mergeCell ref="A91:A111"/>
    <mergeCell ref="A68:A90"/>
  </mergeCells>
  <phoneticPr fontId="2"/>
  <hyperlinks>
    <hyperlink ref="G5" r:id="rId1" xr:uid="{3AA85B7E-CF7E-4A37-ACE4-EAD436FC5B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A42C-6161-45AC-9E34-3E6F11878F68}">
  <dimension ref="A1:A3"/>
  <sheetViews>
    <sheetView workbookViewId="0">
      <selection activeCell="A4" sqref="A4"/>
    </sheetView>
  </sheetViews>
  <sheetFormatPr defaultRowHeight="18" x14ac:dyDescent="0.45"/>
  <sheetData>
    <row r="1" spans="1:1" x14ac:dyDescent="0.45">
      <c r="A1" t="s">
        <v>253</v>
      </c>
    </row>
    <row r="3" spans="1:1" x14ac:dyDescent="0.45">
      <c r="A3" t="s">
        <v>254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CA7B-9A9F-42CB-9CFE-3F91B487BD27}">
  <dimension ref="A1:L64"/>
  <sheetViews>
    <sheetView topLeftCell="A29" workbookViewId="0">
      <selection activeCell="H56" sqref="H56"/>
    </sheetView>
  </sheetViews>
  <sheetFormatPr defaultRowHeight="18" x14ac:dyDescent="0.45"/>
  <sheetData>
    <row r="1" spans="1:12" ht="72" x14ac:dyDescent="0.45">
      <c r="A1" t="s">
        <v>106</v>
      </c>
      <c r="G1" t="s">
        <v>162</v>
      </c>
      <c r="K1" s="25" t="s">
        <v>210</v>
      </c>
      <c r="L1" s="26" t="s">
        <v>211</v>
      </c>
    </row>
    <row r="2" spans="1:12" ht="54" x14ac:dyDescent="0.45">
      <c r="A2" t="s">
        <v>107</v>
      </c>
      <c r="G2" t="s">
        <v>163</v>
      </c>
      <c r="K2" s="25" t="s">
        <v>212</v>
      </c>
      <c r="L2" s="26" t="s">
        <v>213</v>
      </c>
    </row>
    <row r="3" spans="1:12" ht="54" x14ac:dyDescent="0.45">
      <c r="A3" t="s">
        <v>106</v>
      </c>
      <c r="G3" t="s">
        <v>164</v>
      </c>
      <c r="K3" s="25" t="s">
        <v>214</v>
      </c>
      <c r="L3" s="26" t="s">
        <v>215</v>
      </c>
    </row>
    <row r="4" spans="1:12" ht="90" x14ac:dyDescent="0.45">
      <c r="A4" t="s">
        <v>108</v>
      </c>
      <c r="G4" t="s">
        <v>165</v>
      </c>
      <c r="K4" s="25" t="s">
        <v>216</v>
      </c>
      <c r="L4" s="26" t="s">
        <v>217</v>
      </c>
    </row>
    <row r="5" spans="1:12" ht="72" x14ac:dyDescent="0.45">
      <c r="A5" t="e" cm="1">
        <f t="array" ref="A5">- 氏名 / Full Name</f>
        <v>#NAME?</v>
      </c>
      <c r="G5" t="s">
        <v>166</v>
      </c>
      <c r="K5" s="25" t="s">
        <v>218</v>
      </c>
      <c r="L5" s="26" t="s">
        <v>219</v>
      </c>
    </row>
    <row r="6" spans="1:12" x14ac:dyDescent="0.45">
      <c r="A6" t="e" cm="1">
        <f t="array" aca="1" ref="A6" ca="1">- 氏名(ローマ字) / Name (Romanized)</f>
        <v>#NAME?</v>
      </c>
      <c r="G6" t="s">
        <v>167</v>
      </c>
      <c r="K6" s="25" t="s">
        <v>220</v>
      </c>
      <c r="L6" s="26" t="s">
        <v>221</v>
      </c>
    </row>
    <row r="7" spans="1:12" ht="72" x14ac:dyDescent="0.45">
      <c r="A7" t="s">
        <v>109</v>
      </c>
      <c r="G7" t="s">
        <v>168</v>
      </c>
      <c r="K7" s="25" t="s">
        <v>222</v>
      </c>
      <c r="L7" s="26" t="s">
        <v>223</v>
      </c>
    </row>
    <row r="8" spans="1:12" ht="36" x14ac:dyDescent="0.45">
      <c r="A8" t="s">
        <v>110</v>
      </c>
      <c r="G8" t="s">
        <v>169</v>
      </c>
      <c r="K8" s="25" t="s">
        <v>224</v>
      </c>
      <c r="L8" s="26" t="s">
        <v>225</v>
      </c>
    </row>
    <row r="9" spans="1:12" ht="54" x14ac:dyDescent="0.45">
      <c r="A9" t="e" cm="1">
        <f t="array" ref="A9">- 国籍 / Nationality</f>
        <v>#NAME?</v>
      </c>
      <c r="G9" t="s">
        <v>170</v>
      </c>
      <c r="K9" s="25" t="s">
        <v>226</v>
      </c>
      <c r="L9" s="26" t="s">
        <v>227</v>
      </c>
    </row>
    <row r="10" spans="1:12" x14ac:dyDescent="0.45">
      <c r="A10" t="e" cm="1">
        <f t="array" ref="A10">- 部門 / Category</f>
        <v>#NAME?</v>
      </c>
      <c r="G10" t="s">
        <v>163</v>
      </c>
    </row>
    <row r="11" spans="1:12" x14ac:dyDescent="0.45">
      <c r="A11" t="e" cm="1">
        <f t="array" aca="1" ref="A11" ca="1">- 曲目 / Piece(自由入力)</f>
        <v>#NAME?</v>
      </c>
      <c r="G11" t="s">
        <v>171</v>
      </c>
    </row>
    <row r="12" spans="1:12" x14ac:dyDescent="0.45">
      <c r="A12" t="e" cm="1">
        <f t="array" ref="A12">- YouTube URL</f>
        <v>#NAME?</v>
      </c>
      <c r="G12" t="s">
        <v>172</v>
      </c>
    </row>
    <row r="13" spans="1:12" x14ac:dyDescent="0.45">
      <c r="A13" t="s">
        <v>111</v>
      </c>
      <c r="G13" t="s">
        <v>173</v>
      </c>
    </row>
    <row r="14" spans="1:12" x14ac:dyDescent="0.45">
      <c r="A14" t="e" cm="1">
        <f t="array" ref="A14">- 先生名 / Teacher Name</f>
        <v>#NAME?</v>
      </c>
      <c r="G14" t="s">
        <v>174</v>
      </c>
    </row>
    <row r="15" spans="1:12" x14ac:dyDescent="0.45">
      <c r="A15" t="e" cm="1">
        <f t="array" ref="A15">- メッセージ / Message</f>
        <v>#NAME?</v>
      </c>
      <c r="G15" t="s">
        <v>175</v>
      </c>
    </row>
    <row r="16" spans="1:12" x14ac:dyDescent="0.45">
      <c r="A16" t="s">
        <v>112</v>
      </c>
      <c r="G16" t="s">
        <v>176</v>
      </c>
    </row>
    <row r="17" spans="1:7" x14ac:dyDescent="0.45">
      <c r="A17" t="s">
        <v>113</v>
      </c>
      <c r="G17" t="s">
        <v>175</v>
      </c>
    </row>
    <row r="18" spans="1:7" x14ac:dyDescent="0.45">
      <c r="A18" t="s">
        <v>114</v>
      </c>
      <c r="G18" t="s">
        <v>177</v>
      </c>
    </row>
    <row r="19" spans="1:7" x14ac:dyDescent="0.45">
      <c r="A19" t="s">
        <v>115</v>
      </c>
      <c r="G19" t="s">
        <v>175</v>
      </c>
    </row>
    <row r="20" spans="1:7" x14ac:dyDescent="0.45">
      <c r="A20" t="s">
        <v>116</v>
      </c>
      <c r="G20" t="s">
        <v>178</v>
      </c>
    </row>
    <row r="21" spans="1:7" x14ac:dyDescent="0.45">
      <c r="A21" t="s">
        <v>117</v>
      </c>
      <c r="G21" t="s">
        <v>175</v>
      </c>
    </row>
    <row r="22" spans="1:7" x14ac:dyDescent="0.45">
      <c r="A22" t="s">
        <v>118</v>
      </c>
      <c r="G22" t="s">
        <v>179</v>
      </c>
    </row>
    <row r="23" spans="1:7" x14ac:dyDescent="0.45">
      <c r="A23" t="s">
        <v>119</v>
      </c>
      <c r="G23" t="s">
        <v>175</v>
      </c>
    </row>
    <row r="24" spans="1:7" x14ac:dyDescent="0.45">
      <c r="A24" t="e" cm="1">
        <f t="array" ref="A24">- 支払い成功後Webhookでステータス更新</f>
        <v>#NAME?</v>
      </c>
      <c r="G24" t="s">
        <v>180</v>
      </c>
    </row>
    <row r="25" spans="1:7" x14ac:dyDescent="0.45">
      <c r="A25" t="s">
        <v>106</v>
      </c>
      <c r="G25" t="s">
        <v>175</v>
      </c>
    </row>
    <row r="26" spans="1:7" x14ac:dyDescent="0.45">
      <c r="A26" t="s">
        <v>120</v>
      </c>
      <c r="G26" t="s">
        <v>181</v>
      </c>
    </row>
    <row r="27" spans="1:7" x14ac:dyDescent="0.45">
      <c r="A27" t="s">
        <v>106</v>
      </c>
      <c r="G27" t="s">
        <v>175</v>
      </c>
    </row>
    <row r="28" spans="1:7" x14ac:dyDescent="0.45">
      <c r="A28" t="s">
        <v>121</v>
      </c>
      <c r="G28" t="s">
        <v>182</v>
      </c>
    </row>
    <row r="29" spans="1:7" x14ac:dyDescent="0.45">
      <c r="A29" t="s">
        <v>122</v>
      </c>
      <c r="G29" t="s">
        <v>183</v>
      </c>
    </row>
    <row r="30" spans="1:7" x14ac:dyDescent="0.45">
      <c r="A30" t="s">
        <v>123</v>
      </c>
      <c r="G30" t="s">
        <v>184</v>
      </c>
    </row>
    <row r="31" spans="1:7" x14ac:dyDescent="0.45">
      <c r="A31" t="s">
        <v>124</v>
      </c>
      <c r="G31" t="s">
        <v>185</v>
      </c>
    </row>
    <row r="32" spans="1:7" x14ac:dyDescent="0.45">
      <c r="A32" t="s">
        <v>125</v>
      </c>
      <c r="G32" t="s">
        <v>186</v>
      </c>
    </row>
    <row r="33" spans="1:11" x14ac:dyDescent="0.45">
      <c r="A33" t="s">
        <v>126</v>
      </c>
      <c r="G33" t="s">
        <v>187</v>
      </c>
    </row>
    <row r="34" spans="1:11" x14ac:dyDescent="0.45">
      <c r="A34" t="s">
        <v>127</v>
      </c>
      <c r="G34" t="s">
        <v>188</v>
      </c>
    </row>
    <row r="35" spans="1:11" x14ac:dyDescent="0.45">
      <c r="A35" t="s">
        <v>128</v>
      </c>
      <c r="G35" t="s">
        <v>189</v>
      </c>
    </row>
    <row r="36" spans="1:11" x14ac:dyDescent="0.45">
      <c r="A36" t="s">
        <v>129</v>
      </c>
      <c r="G36" t="s">
        <v>190</v>
      </c>
    </row>
    <row r="37" spans="1:11" x14ac:dyDescent="0.45">
      <c r="A37" t="s">
        <v>130</v>
      </c>
      <c r="G37" t="s">
        <v>191</v>
      </c>
    </row>
    <row r="38" spans="1:11" x14ac:dyDescent="0.45">
      <c r="A38" t="s">
        <v>131</v>
      </c>
      <c r="G38" t="s">
        <v>184</v>
      </c>
    </row>
    <row r="39" spans="1:11" x14ac:dyDescent="0.45">
      <c r="A39" t="s">
        <v>132</v>
      </c>
      <c r="G39" t="s">
        <v>192</v>
      </c>
    </row>
    <row r="40" spans="1:11" x14ac:dyDescent="0.45">
      <c r="A40" t="s">
        <v>106</v>
      </c>
      <c r="G40" t="s">
        <v>193</v>
      </c>
    </row>
    <row r="41" spans="1:11" x14ac:dyDescent="0.45">
      <c r="A41" t="s">
        <v>133</v>
      </c>
      <c r="G41" t="s">
        <v>194</v>
      </c>
    </row>
    <row r="42" spans="1:11" x14ac:dyDescent="0.45">
      <c r="A42" t="s">
        <v>106</v>
      </c>
      <c r="G42" t="s">
        <v>184</v>
      </c>
    </row>
    <row r="43" spans="1:11" ht="22.2" x14ac:dyDescent="0.45">
      <c r="A43" t="s">
        <v>134</v>
      </c>
      <c r="G43" t="s">
        <v>195</v>
      </c>
      <c r="K43" s="31" t="s">
        <v>229</v>
      </c>
    </row>
    <row r="44" spans="1:11" x14ac:dyDescent="0.45">
      <c r="A44" t="s">
        <v>135</v>
      </c>
      <c r="G44" t="s">
        <v>196</v>
      </c>
      <c r="K44" s="1"/>
    </row>
    <row r="45" spans="1:11" x14ac:dyDescent="0.45">
      <c r="A45" t="s">
        <v>136</v>
      </c>
      <c r="G45" t="s">
        <v>197</v>
      </c>
      <c r="K45" s="1" t="s">
        <v>230</v>
      </c>
    </row>
    <row r="46" spans="1:11" x14ac:dyDescent="0.45">
      <c r="A46" t="s">
        <v>137</v>
      </c>
      <c r="G46" t="s">
        <v>198</v>
      </c>
      <c r="K46" s="1"/>
    </row>
    <row r="47" spans="1:11" x14ac:dyDescent="0.45">
      <c r="A47" t="s">
        <v>138</v>
      </c>
      <c r="G47" t="s">
        <v>199</v>
      </c>
      <c r="K47" s="1" t="s">
        <v>231</v>
      </c>
    </row>
    <row r="48" spans="1:11" x14ac:dyDescent="0.45">
      <c r="A48" t="s">
        <v>139</v>
      </c>
      <c r="G48" t="s">
        <v>200</v>
      </c>
      <c r="K48" s="1"/>
    </row>
    <row r="49" spans="1:11" x14ac:dyDescent="0.45">
      <c r="A49" t="s">
        <v>140</v>
      </c>
      <c r="G49" t="s">
        <v>184</v>
      </c>
      <c r="K49" s="1" t="s">
        <v>232</v>
      </c>
    </row>
    <row r="50" spans="1:11" x14ac:dyDescent="0.45">
      <c r="A50" t="s">
        <v>141</v>
      </c>
      <c r="G50" t="s">
        <v>201</v>
      </c>
      <c r="K50" s="1"/>
    </row>
    <row r="51" spans="1:11" x14ac:dyDescent="0.45">
      <c r="A51" t="s">
        <v>142</v>
      </c>
      <c r="G51" t="s">
        <v>202</v>
      </c>
      <c r="K51" s="1" t="s">
        <v>233</v>
      </c>
    </row>
    <row r="52" spans="1:11" x14ac:dyDescent="0.45">
      <c r="A52" t="s">
        <v>106</v>
      </c>
      <c r="G52" t="s">
        <v>203</v>
      </c>
      <c r="K52" s="1" t="s">
        <v>234</v>
      </c>
    </row>
    <row r="53" spans="1:11" x14ac:dyDescent="0.45">
      <c r="A53" t="s">
        <v>143</v>
      </c>
      <c r="G53" t="s">
        <v>163</v>
      </c>
    </row>
    <row r="54" spans="1:11" ht="22.2" x14ac:dyDescent="0.45">
      <c r="A54" t="s">
        <v>106</v>
      </c>
      <c r="G54" t="s">
        <v>204</v>
      </c>
      <c r="K54" s="31" t="s">
        <v>235</v>
      </c>
    </row>
    <row r="55" spans="1:11" x14ac:dyDescent="0.45">
      <c r="A55" t="s">
        <v>144</v>
      </c>
      <c r="G55" t="s">
        <v>205</v>
      </c>
      <c r="K55" s="1"/>
    </row>
    <row r="56" spans="1:11" x14ac:dyDescent="0.45">
      <c r="A56" t="s">
        <v>145</v>
      </c>
      <c r="G56" t="s">
        <v>206</v>
      </c>
      <c r="K56" s="1" t="s">
        <v>236</v>
      </c>
    </row>
    <row r="57" spans="1:11" x14ac:dyDescent="0.45">
      <c r="A57" t="s">
        <v>146</v>
      </c>
      <c r="G57" t="s">
        <v>207</v>
      </c>
      <c r="K57" s="1"/>
    </row>
    <row r="58" spans="1:11" x14ac:dyDescent="0.45">
      <c r="A58" t="s">
        <v>147</v>
      </c>
      <c r="G58" t="s">
        <v>208</v>
      </c>
      <c r="K58" s="1" t="s">
        <v>237</v>
      </c>
    </row>
    <row r="59" spans="1:11" x14ac:dyDescent="0.45">
      <c r="A59" t="s">
        <v>148</v>
      </c>
      <c r="G59" t="s">
        <v>163</v>
      </c>
      <c r="K59" s="1"/>
    </row>
    <row r="60" spans="1:11" x14ac:dyDescent="0.45">
      <c r="A60" t="s">
        <v>149</v>
      </c>
      <c r="G60" t="s">
        <v>209</v>
      </c>
      <c r="K60" s="1" t="s">
        <v>238</v>
      </c>
    </row>
    <row r="61" spans="1:11" x14ac:dyDescent="0.45">
      <c r="A61" t="s">
        <v>150</v>
      </c>
      <c r="K61" s="1"/>
    </row>
    <row r="62" spans="1:11" x14ac:dyDescent="0.45">
      <c r="A62" t="s">
        <v>151</v>
      </c>
      <c r="K62" s="1" t="s">
        <v>239</v>
      </c>
    </row>
    <row r="63" spans="1:11" x14ac:dyDescent="0.45">
      <c r="A63" t="s">
        <v>152</v>
      </c>
      <c r="K63" s="1" t="s">
        <v>240</v>
      </c>
    </row>
    <row r="64" spans="1:11" x14ac:dyDescent="0.45">
      <c r="A64" t="s">
        <v>153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全工程</vt:lpstr>
      <vt:lpstr>AIMC工程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真理子 後藤</dc:creator>
  <cp:lastModifiedBy>ntt.sapporo.3@gmail.com</cp:lastModifiedBy>
  <dcterms:created xsi:type="dcterms:W3CDTF">2025-12-04T03:30:06Z</dcterms:created>
  <dcterms:modified xsi:type="dcterms:W3CDTF">2025-12-05T06:54:12Z</dcterms:modified>
</cp:coreProperties>
</file>